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C:\Users\katja\Documents\AAA_Katja\Solawi\Bestellungen\Muster-und-Vorlagen\"/>
    </mc:Choice>
  </mc:AlternateContent>
  <xr:revisionPtr revIDLastSave="0" documentId="13_ncr:1_{D41F204D-1DB8-4490-ABB0-3E40C519A134}" xr6:coauthVersionLast="47" xr6:coauthVersionMax="47" xr10:uidLastSave="{00000000-0000-0000-0000-000000000000}"/>
  <bookViews>
    <workbookView xWindow="1290" yWindow="-110" windowWidth="18020" windowHeight="11020" activeTab="1" xr2:uid="{00000000-000D-0000-FFFF-FFFF00000000}"/>
  </bookViews>
  <sheets>
    <sheet name="Gesamt" sheetId="10" r:id="rId1"/>
    <sheet name="Gemüse" sheetId="1" r:id="rId2"/>
    <sheet name="Käse" sheetId="8" r:id="rId3"/>
    <sheet name="FleischWurst" sheetId="9" r:id="rId4"/>
    <sheet name="Getreide" sheetId="4" r:id="rId5"/>
    <sheet name="Gesamtmengen" sheetId="7" r:id="rId6"/>
  </sheets>
  <definedNames>
    <definedName name="_xlnm.Print_Area" localSheetId="3">FleischWurst!$A$1:$L$13</definedName>
    <definedName name="_xlnm.Print_Area" localSheetId="1">Gemüse!$A$1:$M$13</definedName>
    <definedName name="_xlnm.Print_Area" localSheetId="4">Getreide!$A$1:$AK$15</definedName>
    <definedName name="_xlnm.Print_Area" localSheetId="2">Käse!$A$1:$P$13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8" l="1"/>
  <c r="D12" i="8"/>
  <c r="D11" i="8"/>
  <c r="D10" i="8"/>
  <c r="D9" i="8"/>
  <c r="D8" i="8"/>
  <c r="D7" i="8"/>
  <c r="D6" i="8"/>
  <c r="D5" i="8"/>
  <c r="D4" i="8"/>
  <c r="D3" i="8"/>
  <c r="E3" i="8"/>
  <c r="E4" i="8"/>
  <c r="E5" i="8"/>
  <c r="E6" i="8"/>
  <c r="E7" i="8"/>
  <c r="E8" i="8"/>
  <c r="E9" i="8"/>
  <c r="E10" i="8"/>
  <c r="E11" i="8"/>
  <c r="E12" i="8"/>
  <c r="E13" i="8"/>
  <c r="C13" i="1"/>
  <c r="C12" i="1"/>
  <c r="C11" i="1"/>
  <c r="C10" i="1"/>
  <c r="C9" i="1"/>
  <c r="C8" i="1"/>
  <c r="C7" i="1"/>
  <c r="C6" i="1"/>
  <c r="C5" i="1"/>
  <c r="C3" i="1"/>
  <c r="C5" i="10"/>
  <c r="K5" i="10"/>
  <c r="F13" i="8" s="1"/>
  <c r="F3" i="8"/>
  <c r="F4" i="8"/>
  <c r="F5" i="8"/>
  <c r="F6" i="8"/>
  <c r="F7" i="8"/>
  <c r="F8" i="8"/>
  <c r="F9" i="8"/>
  <c r="F10" i="8"/>
  <c r="F11" i="8"/>
  <c r="F12" i="8"/>
  <c r="G12" i="8"/>
  <c r="G11" i="8"/>
  <c r="G10" i="8"/>
  <c r="G9" i="8"/>
  <c r="G8" i="8"/>
  <c r="G7" i="8"/>
  <c r="G6" i="8"/>
  <c r="G5" i="8"/>
  <c r="G4" i="8"/>
  <c r="G3" i="8"/>
  <c r="AJ15" i="4"/>
  <c r="W15" i="4"/>
  <c r="X15" i="4"/>
  <c r="Y15" i="4"/>
  <c r="Z15" i="4"/>
  <c r="AB15" i="4"/>
  <c r="AC15" i="4"/>
  <c r="AD15" i="4"/>
  <c r="AE15" i="4"/>
  <c r="AF15" i="4"/>
  <c r="AG15" i="4"/>
  <c r="AH15" i="4"/>
  <c r="AI15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K14" i="4"/>
  <c r="K12" i="4"/>
  <c r="K11" i="4"/>
  <c r="K10" i="4"/>
  <c r="K9" i="4"/>
  <c r="K5" i="4"/>
  <c r="K13" i="4"/>
  <c r="K8" i="4"/>
  <c r="K7" i="4"/>
  <c r="K6" i="4"/>
  <c r="I6" i="4"/>
  <c r="I14" i="4"/>
  <c r="I12" i="4"/>
  <c r="I11" i="4"/>
  <c r="I10" i="4"/>
  <c r="I9" i="4"/>
  <c r="I5" i="4"/>
  <c r="I13" i="4"/>
  <c r="I8" i="4"/>
  <c r="I7" i="4"/>
  <c r="T6" i="4"/>
  <c r="T14" i="4"/>
  <c r="T12" i="4"/>
  <c r="T11" i="4"/>
  <c r="T10" i="4"/>
  <c r="T9" i="4"/>
  <c r="T5" i="4"/>
  <c r="T13" i="4"/>
  <c r="T8" i="4"/>
  <c r="T7" i="4"/>
  <c r="V1" i="4"/>
  <c r="V3" i="4"/>
  <c r="AH9" i="4"/>
  <c r="AH14" i="4"/>
  <c r="AH12" i="4"/>
  <c r="AH11" i="4"/>
  <c r="AH10" i="4"/>
  <c r="AH5" i="4"/>
  <c r="AH13" i="4"/>
  <c r="AH8" i="4"/>
  <c r="AH7" i="4"/>
  <c r="AH6" i="4"/>
  <c r="AW5" i="10"/>
  <c r="AU5" i="10"/>
  <c r="AS5" i="10"/>
  <c r="AQ5" i="10"/>
  <c r="AO5" i="10"/>
  <c r="AM5" i="10"/>
  <c r="AK5" i="10"/>
  <c r="AI5" i="10"/>
  <c r="AG5" i="10"/>
  <c r="AC5" i="10"/>
  <c r="AA5" i="10"/>
  <c r="AD5" i="10"/>
  <c r="O5" i="10"/>
  <c r="B13" i="8" s="1"/>
  <c r="L14" i="4"/>
  <c r="L12" i="4"/>
  <c r="L11" i="4"/>
  <c r="L10" i="4"/>
  <c r="L9" i="4"/>
  <c r="L5" i="4"/>
  <c r="L13" i="4"/>
  <c r="L8" i="4"/>
  <c r="L7" i="4"/>
  <c r="L6" i="4"/>
  <c r="F14" i="4"/>
  <c r="F12" i="4"/>
  <c r="F11" i="4"/>
  <c r="F10" i="4"/>
  <c r="F9" i="4"/>
  <c r="F5" i="4"/>
  <c r="F13" i="4"/>
  <c r="F8" i="4"/>
  <c r="F7" i="4"/>
  <c r="F6" i="4"/>
  <c r="AB6" i="4"/>
  <c r="AC6" i="4"/>
  <c r="AD6" i="4"/>
  <c r="AB7" i="4"/>
  <c r="AC7" i="4"/>
  <c r="AD7" i="4"/>
  <c r="AB8" i="4"/>
  <c r="AC8" i="4"/>
  <c r="AD8" i="4"/>
  <c r="AB13" i="4"/>
  <c r="AC13" i="4"/>
  <c r="AD13" i="4"/>
  <c r="AB5" i="4"/>
  <c r="AC5" i="4"/>
  <c r="AD5" i="4"/>
  <c r="AB9" i="4"/>
  <c r="AC9" i="4"/>
  <c r="AD9" i="4"/>
  <c r="AB10" i="4"/>
  <c r="AC10" i="4"/>
  <c r="AD10" i="4"/>
  <c r="AB11" i="4"/>
  <c r="AC11" i="4"/>
  <c r="AD11" i="4"/>
  <c r="AB12" i="4"/>
  <c r="AC12" i="4"/>
  <c r="AD12" i="4"/>
  <c r="AB14" i="4"/>
  <c r="AC14" i="4"/>
  <c r="AD14" i="4"/>
  <c r="AK3" i="4"/>
  <c r="AK1" i="4"/>
  <c r="AI14" i="4"/>
  <c r="AI12" i="4"/>
  <c r="AI11" i="4"/>
  <c r="AI10" i="4"/>
  <c r="AI9" i="4"/>
  <c r="AI5" i="4"/>
  <c r="AI13" i="4"/>
  <c r="AI8" i="4"/>
  <c r="AI7" i="4"/>
  <c r="AI6" i="4"/>
  <c r="AG14" i="4"/>
  <c r="AG12" i="4"/>
  <c r="AG11" i="4"/>
  <c r="AG10" i="4"/>
  <c r="AG9" i="4"/>
  <c r="AG5" i="4"/>
  <c r="AG13" i="4"/>
  <c r="AG8" i="4"/>
  <c r="AG7" i="4"/>
  <c r="AG6" i="4"/>
  <c r="AF14" i="4"/>
  <c r="AF12" i="4"/>
  <c r="AF11" i="4"/>
  <c r="AF10" i="4"/>
  <c r="AF9" i="4"/>
  <c r="AF5" i="4"/>
  <c r="AF13" i="4"/>
  <c r="AF8" i="4"/>
  <c r="AF7" i="4"/>
  <c r="AF6" i="4"/>
  <c r="AE14" i="4"/>
  <c r="AE12" i="4"/>
  <c r="AE11" i="4"/>
  <c r="AE10" i="4"/>
  <c r="AE9" i="4"/>
  <c r="AE5" i="4"/>
  <c r="AE13" i="4"/>
  <c r="AE8" i="4"/>
  <c r="AE7" i="4"/>
  <c r="AE6" i="4"/>
  <c r="Z14" i="4"/>
  <c r="Z12" i="4"/>
  <c r="Z11" i="4"/>
  <c r="Z10" i="4"/>
  <c r="Z9" i="4"/>
  <c r="Z5" i="4"/>
  <c r="Z13" i="4"/>
  <c r="Z8" i="4"/>
  <c r="Z7" i="4"/>
  <c r="Z6" i="4"/>
  <c r="Y14" i="4"/>
  <c r="Y12" i="4"/>
  <c r="Y11" i="4"/>
  <c r="Y10" i="4"/>
  <c r="Y9" i="4"/>
  <c r="Y5" i="4"/>
  <c r="Y13" i="4"/>
  <c r="Y8" i="4"/>
  <c r="Y7" i="4"/>
  <c r="Y6" i="4"/>
  <c r="X14" i="4"/>
  <c r="X12" i="4"/>
  <c r="X11" i="4"/>
  <c r="X10" i="4"/>
  <c r="X9" i="4"/>
  <c r="X5" i="4"/>
  <c r="X13" i="4"/>
  <c r="X8" i="4"/>
  <c r="X7" i="4"/>
  <c r="X6" i="4"/>
  <c r="S14" i="4"/>
  <c r="S12" i="4"/>
  <c r="S11" i="4"/>
  <c r="S10" i="4"/>
  <c r="S9" i="4"/>
  <c r="S5" i="4"/>
  <c r="S13" i="4"/>
  <c r="S8" i="4"/>
  <c r="S7" i="4"/>
  <c r="S6" i="4"/>
  <c r="R14" i="4"/>
  <c r="R12" i="4"/>
  <c r="R11" i="4"/>
  <c r="R10" i="4"/>
  <c r="R9" i="4"/>
  <c r="R5" i="4"/>
  <c r="R13" i="4"/>
  <c r="R8" i="4"/>
  <c r="R7" i="4"/>
  <c r="R6" i="4"/>
  <c r="Q12" i="4"/>
  <c r="Q11" i="4"/>
  <c r="Q10" i="4"/>
  <c r="Q9" i="4"/>
  <c r="Q5" i="4"/>
  <c r="Q13" i="4"/>
  <c r="Q8" i="4"/>
  <c r="Q7" i="4"/>
  <c r="Q6" i="4"/>
  <c r="P14" i="4"/>
  <c r="P12" i="4"/>
  <c r="P11" i="4"/>
  <c r="P10" i="4"/>
  <c r="P9" i="4"/>
  <c r="P5" i="4"/>
  <c r="P13" i="4"/>
  <c r="P7" i="4"/>
  <c r="P8" i="4"/>
  <c r="Q14" i="4"/>
  <c r="O8" i="4"/>
  <c r="O7" i="4"/>
  <c r="P6" i="4"/>
  <c r="C6" i="4"/>
  <c r="B6" i="4"/>
  <c r="B12" i="8"/>
  <c r="B10" i="8"/>
  <c r="B9" i="8"/>
  <c r="B8" i="8"/>
  <c r="B7" i="8"/>
  <c r="B3" i="8"/>
  <c r="B11" i="8"/>
  <c r="B6" i="8"/>
  <c r="B5" i="8"/>
  <c r="B4" i="8"/>
  <c r="C12" i="8"/>
  <c r="C10" i="8"/>
  <c r="C9" i="8"/>
  <c r="C8" i="8"/>
  <c r="C7" i="8"/>
  <c r="C3" i="8"/>
  <c r="C11" i="8"/>
  <c r="C6" i="8"/>
  <c r="C5" i="8"/>
  <c r="C4" i="8"/>
  <c r="M10" i="4"/>
  <c r="J10" i="4"/>
  <c r="H10" i="4"/>
  <c r="M8" i="4"/>
  <c r="H8" i="4"/>
  <c r="H14" i="4"/>
  <c r="J14" i="4"/>
  <c r="M14" i="4"/>
  <c r="M12" i="4"/>
  <c r="J12" i="4"/>
  <c r="H12" i="4"/>
  <c r="M11" i="4"/>
  <c r="J11" i="4"/>
  <c r="H11" i="4"/>
  <c r="M9" i="4"/>
  <c r="J9" i="4"/>
  <c r="H9" i="4"/>
  <c r="M5" i="4"/>
  <c r="J5" i="4"/>
  <c r="H5" i="4"/>
  <c r="M13" i="4"/>
  <c r="J13" i="4"/>
  <c r="H13" i="4"/>
  <c r="M7" i="4"/>
  <c r="J7" i="4"/>
  <c r="H7" i="4"/>
  <c r="M6" i="4"/>
  <c r="J8" i="4"/>
  <c r="J6" i="4"/>
  <c r="H6" i="4"/>
  <c r="Y5" i="10"/>
  <c r="U5" i="10"/>
  <c r="AE5" i="10"/>
  <c r="AB4" i="4" l="1"/>
  <c r="AH4" i="4"/>
  <c r="H4" i="4"/>
  <c r="X4" i="4"/>
  <c r="AF4" i="4"/>
  <c r="L4" i="4"/>
  <c r="P4" i="4"/>
  <c r="M4" i="4"/>
  <c r="Y4" i="4"/>
  <c r="AG4" i="4"/>
  <c r="T4" i="4"/>
  <c r="Q4" i="4"/>
  <c r="J4" i="4"/>
  <c r="R4" i="4"/>
  <c r="S4" i="4"/>
  <c r="Z4" i="4"/>
  <c r="AI4" i="4"/>
  <c r="AC4" i="4"/>
  <c r="AD4" i="4"/>
  <c r="AE4" i="4"/>
  <c r="F4" i="4"/>
  <c r="BB5" i="10"/>
  <c r="BF5" i="10"/>
  <c r="K13" i="1" s="1"/>
  <c r="K8" i="1"/>
  <c r="K12" i="1"/>
  <c r="K9" i="1"/>
  <c r="K10" i="1"/>
  <c r="K7" i="1"/>
  <c r="K3" i="1"/>
  <c r="K11" i="1"/>
  <c r="K6" i="1"/>
  <c r="K5" i="1"/>
  <c r="K4" i="1"/>
  <c r="AJ8" i="4"/>
  <c r="AJ14" i="4" l="1"/>
  <c r="AJ12" i="4"/>
  <c r="AJ11" i="4"/>
  <c r="AJ10" i="4"/>
  <c r="AJ9" i="4"/>
  <c r="AJ5" i="4"/>
  <c r="AJ13" i="4"/>
  <c r="AJ7" i="4"/>
  <c r="AJ6" i="4"/>
  <c r="D5" i="10"/>
  <c r="E13" i="1" s="1"/>
  <c r="E5" i="10"/>
  <c r="E13" i="9" s="1"/>
  <c r="F5" i="10"/>
  <c r="AJ4" i="4" s="1"/>
  <c r="G5" i="10"/>
  <c r="D5" i="7" s="1"/>
  <c r="H5" i="10"/>
  <c r="I5" i="10"/>
  <c r="J5" i="10"/>
  <c r="L5" i="10"/>
  <c r="G13" i="8" s="1"/>
  <c r="M5" i="10"/>
  <c r="N5" i="10"/>
  <c r="C13" i="8" s="1"/>
  <c r="P5" i="10"/>
  <c r="H13" i="8" s="1"/>
  <c r="Q5" i="10"/>
  <c r="I13" i="8" s="1"/>
  <c r="V5" i="10"/>
  <c r="X5" i="10"/>
  <c r="Z5" i="10"/>
  <c r="AB5" i="10"/>
  <c r="AF5" i="10"/>
  <c r="D14" i="7" s="1"/>
  <c r="AH5" i="10"/>
  <c r="D11" i="7" s="1"/>
  <c r="AJ5" i="10"/>
  <c r="D13" i="7" s="1"/>
  <c r="AL5" i="10"/>
  <c r="D15" i="7" s="1"/>
  <c r="AN5" i="10"/>
  <c r="D17" i="7" s="1"/>
  <c r="AP5" i="10"/>
  <c r="D18" i="7" s="1"/>
  <c r="AR5" i="10"/>
  <c r="D22" i="7" s="1"/>
  <c r="AT5" i="10"/>
  <c r="D20" i="7" s="1"/>
  <c r="AV5" i="10"/>
  <c r="D21" i="7" s="1"/>
  <c r="AX5" i="10"/>
  <c r="D19" i="7" s="1"/>
  <c r="AY5" i="10"/>
  <c r="AZ5" i="10"/>
  <c r="BA5" i="10"/>
  <c r="BC5" i="10"/>
  <c r="BD5" i="10"/>
  <c r="M13" i="1" s="1"/>
  <c r="BE5" i="10"/>
  <c r="J13" i="1" s="1"/>
  <c r="BG5" i="10"/>
  <c r="L13" i="1" s="1"/>
  <c r="BH5" i="10"/>
  <c r="BI5" i="10"/>
  <c r="B5" i="10"/>
  <c r="B13" i="1" s="1"/>
  <c r="A3" i="4"/>
  <c r="E12" i="9"/>
  <c r="E10" i="9"/>
  <c r="E9" i="9"/>
  <c r="E8" i="9"/>
  <c r="E7" i="9"/>
  <c r="E3" i="9"/>
  <c r="A2" i="7"/>
  <c r="A1" i="7"/>
  <c r="A1" i="4"/>
  <c r="A2" i="8"/>
  <c r="A1" i="8"/>
  <c r="A1" i="9"/>
  <c r="A1" i="1"/>
  <c r="C14" i="4"/>
  <c r="D14" i="4"/>
  <c r="E14" i="4"/>
  <c r="G14" i="4"/>
  <c r="N14" i="4"/>
  <c r="O14" i="4"/>
  <c r="W14" i="4"/>
  <c r="C12" i="4"/>
  <c r="D12" i="4"/>
  <c r="E12" i="4"/>
  <c r="G12" i="4"/>
  <c r="N12" i="4"/>
  <c r="O12" i="4"/>
  <c r="W12" i="4"/>
  <c r="C11" i="4"/>
  <c r="D11" i="4"/>
  <c r="E11" i="4"/>
  <c r="G11" i="4"/>
  <c r="N11" i="4"/>
  <c r="O11" i="4"/>
  <c r="W11" i="4"/>
  <c r="C10" i="4"/>
  <c r="D10" i="4"/>
  <c r="E10" i="4"/>
  <c r="G10" i="4"/>
  <c r="N10" i="4"/>
  <c r="O10" i="4"/>
  <c r="W10" i="4"/>
  <c r="C9" i="4"/>
  <c r="D9" i="4"/>
  <c r="E9" i="4"/>
  <c r="G9" i="4"/>
  <c r="N9" i="4"/>
  <c r="O9" i="4"/>
  <c r="W9" i="4"/>
  <c r="C5" i="4"/>
  <c r="D5" i="4"/>
  <c r="E5" i="4"/>
  <c r="G5" i="4"/>
  <c r="N5" i="4"/>
  <c r="O5" i="4"/>
  <c r="W5" i="4"/>
  <c r="C13" i="4"/>
  <c r="D13" i="4"/>
  <c r="E13" i="4"/>
  <c r="G13" i="4"/>
  <c r="N13" i="4"/>
  <c r="O13" i="4"/>
  <c r="W13" i="4"/>
  <c r="C8" i="4"/>
  <c r="D8" i="4"/>
  <c r="E8" i="4"/>
  <c r="G8" i="4"/>
  <c r="N8" i="4"/>
  <c r="W8" i="4"/>
  <c r="C7" i="4"/>
  <c r="D7" i="4"/>
  <c r="E7" i="4"/>
  <c r="G7" i="4"/>
  <c r="N7" i="4"/>
  <c r="W7" i="4"/>
  <c r="W6" i="4"/>
  <c r="O6" i="4"/>
  <c r="N6" i="4"/>
  <c r="G6" i="4"/>
  <c r="E6" i="4"/>
  <c r="D6" i="4"/>
  <c r="B14" i="4"/>
  <c r="B12" i="4"/>
  <c r="B11" i="4"/>
  <c r="B10" i="4"/>
  <c r="B9" i="4"/>
  <c r="B5" i="4"/>
  <c r="B13" i="4"/>
  <c r="B8" i="4"/>
  <c r="B7" i="4"/>
  <c r="E11" i="9"/>
  <c r="E6" i="9"/>
  <c r="E5" i="9"/>
  <c r="E4" i="9"/>
  <c r="B12" i="9"/>
  <c r="B10" i="9"/>
  <c r="B9" i="9"/>
  <c r="B8" i="9"/>
  <c r="B7" i="9"/>
  <c r="B3" i="9"/>
  <c r="B11" i="9"/>
  <c r="B6" i="9"/>
  <c r="B5" i="9"/>
  <c r="B4" i="9"/>
  <c r="I12" i="8"/>
  <c r="I10" i="8"/>
  <c r="I9" i="8"/>
  <c r="I8" i="8"/>
  <c r="I7" i="8"/>
  <c r="I3" i="8"/>
  <c r="I11" i="8"/>
  <c r="I6" i="8"/>
  <c r="I5" i="8"/>
  <c r="I4" i="8"/>
  <c r="H12" i="8"/>
  <c r="H10" i="8"/>
  <c r="H9" i="8"/>
  <c r="H8" i="8"/>
  <c r="H7" i="8"/>
  <c r="H3" i="8"/>
  <c r="H11" i="8"/>
  <c r="H6" i="8"/>
  <c r="H5" i="8"/>
  <c r="H4" i="8"/>
  <c r="L8" i="1"/>
  <c r="L12" i="1"/>
  <c r="L9" i="1"/>
  <c r="L7" i="1"/>
  <c r="L3" i="1"/>
  <c r="L10" i="1"/>
  <c r="L11" i="1"/>
  <c r="L6" i="1"/>
  <c r="L5" i="1"/>
  <c r="L4" i="1"/>
  <c r="J8" i="1"/>
  <c r="J12" i="1"/>
  <c r="J9" i="1"/>
  <c r="J7" i="1"/>
  <c r="J3" i="1"/>
  <c r="J10" i="1"/>
  <c r="J11" i="1"/>
  <c r="J6" i="1"/>
  <c r="J5" i="1"/>
  <c r="J4" i="1"/>
  <c r="M8" i="1"/>
  <c r="M12" i="1"/>
  <c r="M9" i="1"/>
  <c r="M7" i="1"/>
  <c r="M3" i="1"/>
  <c r="M10" i="1"/>
  <c r="M11" i="1"/>
  <c r="M6" i="1"/>
  <c r="M5" i="1"/>
  <c r="M4" i="1"/>
  <c r="E8" i="1"/>
  <c r="F8" i="1" s="1"/>
  <c r="E12" i="1"/>
  <c r="F12" i="1" s="1"/>
  <c r="E9" i="1"/>
  <c r="F9" i="1" s="1"/>
  <c r="E7" i="1"/>
  <c r="F7" i="1" s="1"/>
  <c r="E3" i="1"/>
  <c r="F3" i="1" s="1"/>
  <c r="E10" i="1"/>
  <c r="F10" i="1" s="1"/>
  <c r="E11" i="1"/>
  <c r="F11" i="1" s="1"/>
  <c r="E6" i="1"/>
  <c r="F6" i="1" s="1"/>
  <c r="E5" i="1"/>
  <c r="F5" i="1" s="1"/>
  <c r="E4" i="1"/>
  <c r="F4" i="1" s="1"/>
  <c r="B8" i="1"/>
  <c r="D8" i="1" s="1"/>
  <c r="B12" i="1"/>
  <c r="D12" i="1" s="1"/>
  <c r="B9" i="1"/>
  <c r="D9" i="1" s="1"/>
  <c r="B7" i="1"/>
  <c r="D7" i="1" s="1"/>
  <c r="B3" i="1"/>
  <c r="D3" i="1" s="1"/>
  <c r="B10" i="1"/>
  <c r="D10" i="1" s="1"/>
  <c r="B11" i="1"/>
  <c r="D11" i="1" s="1"/>
  <c r="B6" i="1"/>
  <c r="D6" i="1" s="1"/>
  <c r="B5" i="1"/>
  <c r="D5" i="1" s="1"/>
  <c r="B4" i="1"/>
  <c r="D4" i="1" s="1"/>
  <c r="D13" i="1" l="1"/>
  <c r="F13" i="1"/>
  <c r="C4" i="4"/>
  <c r="W4" i="4"/>
  <c r="B4" i="4"/>
  <c r="O4" i="4"/>
  <c r="N4" i="4"/>
  <c r="G4" i="4"/>
  <c r="E4" i="4"/>
  <c r="D4" i="4"/>
  <c r="D12" i="7"/>
  <c r="D23" i="7"/>
  <c r="D10" i="7"/>
  <c r="B13" i="9"/>
  <c r="D6" i="7"/>
  <c r="D7" i="7"/>
  <c r="D26" i="7"/>
  <c r="AJ16" i="4"/>
  <c r="D4" i="7"/>
</calcChain>
</file>

<file path=xl/sharedStrings.xml><?xml version="1.0" encoding="utf-8"?>
<sst xmlns="http://schemas.openxmlformats.org/spreadsheetml/2006/main" count="380" uniqueCount="165">
  <si>
    <t>Einheit</t>
  </si>
  <si>
    <t>Bammental</t>
  </si>
  <si>
    <t>Einzel</t>
  </si>
  <si>
    <t>Handsch. 1</t>
  </si>
  <si>
    <t>Handsch. 2</t>
  </si>
  <si>
    <t>Südstadt</t>
  </si>
  <si>
    <t>Wiesloch</t>
  </si>
  <si>
    <t>Rohrbach</t>
  </si>
  <si>
    <t>Anteile</t>
  </si>
  <si>
    <t>plus 10%</t>
  </si>
  <si>
    <t>Kartoffeln</t>
  </si>
  <si>
    <t>Apfelsaft</t>
  </si>
  <si>
    <t>1 L</t>
  </si>
  <si>
    <t>5 L</t>
  </si>
  <si>
    <t>Summe</t>
  </si>
  <si>
    <t>Brot</t>
  </si>
  <si>
    <t>kg</t>
  </si>
  <si>
    <t>Stk</t>
  </si>
  <si>
    <t xml:space="preserve"> x</t>
  </si>
  <si>
    <t xml:space="preserve"> =</t>
  </si>
  <si>
    <t>Fleisch</t>
  </si>
  <si>
    <t>Wurst</t>
  </si>
  <si>
    <t>Knochen</t>
  </si>
  <si>
    <t>Innereien</t>
  </si>
  <si>
    <t>7x</t>
  </si>
  <si>
    <t>nein</t>
  </si>
  <si>
    <t>Mehl</t>
  </si>
  <si>
    <t>Flocken</t>
  </si>
  <si>
    <t>Korn</t>
  </si>
  <si>
    <t>Nudeln</t>
  </si>
  <si>
    <t>2 kg</t>
  </si>
  <si>
    <t>Hafer-Korn</t>
  </si>
  <si>
    <t>Walldorf</t>
  </si>
  <si>
    <t>Zähler</t>
  </si>
  <si>
    <t>Bauernkäse</t>
  </si>
  <si>
    <t>Joghurt</t>
  </si>
  <si>
    <t>Rohr</t>
  </si>
  <si>
    <t>Süd</t>
  </si>
  <si>
    <t>Roggen</t>
  </si>
  <si>
    <t>Wall</t>
  </si>
  <si>
    <t>HH1</t>
  </si>
  <si>
    <t>HH2</t>
  </si>
  <si>
    <t>Einzelkisten</t>
  </si>
  <si>
    <t>Quark</t>
  </si>
  <si>
    <t>2x</t>
  </si>
  <si>
    <t>Mengen</t>
  </si>
  <si>
    <t>Preise</t>
  </si>
  <si>
    <t>Milch</t>
  </si>
  <si>
    <t>Käse</t>
  </si>
  <si>
    <t>Dinkel weiß</t>
  </si>
  <si>
    <t>Dinkel-vollkorn</t>
  </si>
  <si>
    <t>Weizen weiß</t>
  </si>
  <si>
    <t>Weizen vollkorn</t>
  </si>
  <si>
    <t>Roggen hell</t>
  </si>
  <si>
    <t>Roggen-vollkorn</t>
  </si>
  <si>
    <t>Hafer fein</t>
  </si>
  <si>
    <t>Hafer grob</t>
  </si>
  <si>
    <t>Hafer</t>
  </si>
  <si>
    <t>Weizen</t>
  </si>
  <si>
    <t>Dinkel</t>
  </si>
  <si>
    <t>Dinkelnudeln</t>
  </si>
  <si>
    <t>Woche</t>
  </si>
  <si>
    <t>Saft</t>
  </si>
  <si>
    <t>Sonderinfo</t>
  </si>
  <si>
    <t>Milchprodukte</t>
  </si>
  <si>
    <t>Getreide</t>
  </si>
  <si>
    <t>Birnensaft</t>
  </si>
  <si>
    <t>`*500g</t>
  </si>
  <si>
    <t>Lieferung1</t>
  </si>
  <si>
    <t>Einz</t>
  </si>
  <si>
    <t>Bam</t>
  </si>
  <si>
    <t>Wies</t>
  </si>
  <si>
    <t xml:space="preserve">1x </t>
  </si>
  <si>
    <t>3 L</t>
  </si>
  <si>
    <t>Hirtenkäse</t>
  </si>
  <si>
    <t>Weichkaese</t>
  </si>
  <si>
    <t>Hirtenkaese</t>
  </si>
  <si>
    <t>Muensterkaese</t>
  </si>
  <si>
    <t>Neue Kaesesorte</t>
  </si>
  <si>
    <t>2,5 kg</t>
  </si>
  <si>
    <t>1 kg</t>
  </si>
  <si>
    <t>Dinkel 630 2,5 kg</t>
  </si>
  <si>
    <t>Dinkel 1050 2,5 kg</t>
  </si>
  <si>
    <t>Weizen 550 2,5 kg</t>
  </si>
  <si>
    <t>Weizen 1050 2,5 kg</t>
  </si>
  <si>
    <t>Roggen 1150 2,5 kg</t>
  </si>
  <si>
    <t>Dinkel 630 1 kg</t>
  </si>
  <si>
    <t>Weizen 550 1 kg</t>
  </si>
  <si>
    <t>Roggen 1150 1 kg</t>
  </si>
  <si>
    <t>Dinkel-Vollkorn 2,5 kg</t>
  </si>
  <si>
    <t>Weizen-Vollkorn 2,5 kg</t>
  </si>
  <si>
    <t>Roggen-Vollkorn 2,5 kg</t>
  </si>
  <si>
    <t>Dinkel-Vollkorn 1 kg</t>
  </si>
  <si>
    <t>Weizen-Vollkorn 1 kg</t>
  </si>
  <si>
    <t>Roggen-Vollkorn 1 kg</t>
  </si>
  <si>
    <t>Dinkel-Korn 1 kg</t>
  </si>
  <si>
    <t>Weizen-Korn 1 kg</t>
  </si>
  <si>
    <t>Roggen-Korn 1kg</t>
  </si>
  <si>
    <t>Dinkel-Korn 2,5 kg</t>
  </si>
  <si>
    <t>Weizen-Korn 2,5 kg</t>
  </si>
  <si>
    <t>Roggen-Korn 2,5 kg</t>
  </si>
  <si>
    <t>Hafer-Korn 1kg</t>
  </si>
  <si>
    <t>feine Haferflocken 2 kg</t>
  </si>
  <si>
    <t>grobe Haferflocken2 kg</t>
  </si>
  <si>
    <t>feine Haferflocken 1 kg</t>
  </si>
  <si>
    <t>grobe Haferflocken 1 kg</t>
  </si>
  <si>
    <t>1kg</t>
  </si>
  <si>
    <t>Dinkel 1050 1kg</t>
  </si>
  <si>
    <t>Dinkel 630 2,5kg</t>
  </si>
  <si>
    <t>Dinkel 630 1kg</t>
  </si>
  <si>
    <t>Dinkel 1050 2,5kg</t>
  </si>
  <si>
    <t>Weizen 550 2,5kg</t>
  </si>
  <si>
    <t>Weizen 1050 1kg</t>
  </si>
  <si>
    <t>Weizen 1050 2,5kg</t>
  </si>
  <si>
    <t>Roggen 1150 1kg</t>
  </si>
  <si>
    <t>Roggen 1150 2,5kg</t>
  </si>
  <si>
    <t>Dinkelvollkorn 1kg</t>
  </si>
  <si>
    <t>Dinkelvollkorn 2,5kg</t>
  </si>
  <si>
    <t>Weizenvollkorn 1kg</t>
  </si>
  <si>
    <t>Weizenvollkorn 2,5kg</t>
  </si>
  <si>
    <t>Roggenvollkorn 1kg</t>
  </si>
  <si>
    <t>Roggenvollkorn 2,5kg</t>
  </si>
  <si>
    <t>Hafer fein 1kg</t>
  </si>
  <si>
    <t>Hafer fein 2kg</t>
  </si>
  <si>
    <t>Hafer grob 1kg</t>
  </si>
  <si>
    <t>Hafer grob 2kg</t>
  </si>
  <si>
    <t>Dinkel 1kg</t>
  </si>
  <si>
    <t>Dinkel 2,5kg</t>
  </si>
  <si>
    <t>Weizen 1kg</t>
  </si>
  <si>
    <t>Weizen 2,5kg</t>
  </si>
  <si>
    <t>Roggen 1kg</t>
  </si>
  <si>
    <t>Roggen 2,5kg</t>
  </si>
  <si>
    <t>Hafer 2kg</t>
  </si>
  <si>
    <t>Wellband 500g</t>
  </si>
  <si>
    <t>Band 250g</t>
  </si>
  <si>
    <t>Spaetzle 500g</t>
  </si>
  <si>
    <t>Spaghetti (kurz) 500g</t>
  </si>
  <si>
    <t>Spaghetti (kurz) 250g</t>
  </si>
  <si>
    <t>Apfelsaft 1L</t>
  </si>
  <si>
    <t>Apfelsaft 3L</t>
  </si>
  <si>
    <t>Apfelsaft 5L</t>
  </si>
  <si>
    <t>Quittensaft 3L</t>
  </si>
  <si>
    <t>Weizen Dunst 2,5kg</t>
  </si>
  <si>
    <t>Weizen Dunst 1kg</t>
  </si>
  <si>
    <t>Hafer 1kg</t>
  </si>
  <si>
    <t>Weizen 550 1kg</t>
  </si>
  <si>
    <t>Vollkornmehl 1kg</t>
  </si>
  <si>
    <t>Mehl weiss 1kg</t>
  </si>
  <si>
    <t>Kirchheim</t>
  </si>
  <si>
    <t>Dinkel 1050 1 kg</t>
  </si>
  <si>
    <t>Weizen 1050 1 kg</t>
  </si>
  <si>
    <t xml:space="preserve">Kirchheim </t>
  </si>
  <si>
    <t>Kir</t>
  </si>
  <si>
    <t>Wieblingen</t>
  </si>
  <si>
    <t xml:space="preserve">Wieblingen </t>
  </si>
  <si>
    <t>Grillkase</t>
  </si>
  <si>
    <t>Ricotta</t>
  </si>
  <si>
    <t>MaSued</t>
  </si>
  <si>
    <t>Mannheim Süd</t>
  </si>
  <si>
    <t>Mannheim Sued</t>
  </si>
  <si>
    <t>Grillkaese</t>
  </si>
  <si>
    <t>Schnittkäse</t>
  </si>
  <si>
    <t>Wbl</t>
  </si>
  <si>
    <t>Gemüse</t>
  </si>
  <si>
    <t>Weichkäse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</si>
</sst>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6"/>
      <name val="Arial"/>
      <family val="2"/>
    </font>
    <font>
      <b/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sz val="12"/>
      <color rgb="FF000000"/>
      <name val="Calibri"/>
      <family val="2"/>
    </font>
    <font>
      <sz val="14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Arial Narrow"/>
      <family val="2"/>
    </font>
    <font>
      <sz val="14"/>
      <name val="Arial"/>
      <family val="2"/>
    </font>
    <font>
      <sz val="1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99CC00"/>
        <bgColor rgb="FF99CC66"/>
      </patternFill>
    </fill>
    <fill>
      <patternFill patternType="solid">
        <fgColor rgb="FF808080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FF99CC"/>
        <bgColor rgb="FFFF9999"/>
      </patternFill>
    </fill>
    <fill>
      <patternFill patternType="solid">
        <fgColor rgb="FFCC99FF"/>
        <bgColor rgb="FF9999FF"/>
      </patternFill>
    </fill>
    <fill>
      <patternFill patternType="solid">
        <fgColor rgb="FFFF9900"/>
        <bgColor rgb="FFFFCC00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rgb="FFFF808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697"/>
        <bgColor indexed="64"/>
      </patternFill>
    </fill>
    <fill>
      <patternFill patternType="solid">
        <fgColor rgb="FF92D050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333333"/>
      </left>
      <right style="thin">
        <color rgb="FF333333"/>
      </right>
      <top/>
      <bottom style="thin">
        <color rgb="FF333333"/>
      </bottom>
      <diagonal/>
    </border>
    <border>
      <left/>
      <right style="hair">
        <color auto="1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Dashed">
        <color indexed="64"/>
      </right>
      <top style="medium">
        <color indexed="64"/>
      </top>
      <bottom style="thin">
        <color indexed="64"/>
      </bottom>
      <diagonal/>
    </border>
    <border>
      <left style="medium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Dashed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DashDot">
        <color auto="1"/>
      </left>
      <right style="thin">
        <color indexed="64"/>
      </right>
      <top style="mediumDashDot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">
        <color auto="1"/>
      </top>
      <bottom style="thin">
        <color indexed="64"/>
      </bottom>
      <diagonal/>
    </border>
    <border>
      <left/>
      <right/>
      <top style="mediumDashDot">
        <color auto="1"/>
      </top>
      <bottom/>
      <diagonal/>
    </border>
    <border>
      <left style="thin">
        <color indexed="64"/>
      </left>
      <right style="mediumDashDot">
        <color auto="1"/>
      </right>
      <top style="mediumDashDot">
        <color auto="1"/>
      </top>
      <bottom style="thin">
        <color indexed="64"/>
      </bottom>
      <diagonal/>
    </border>
    <border>
      <left style="mediumDashDot">
        <color auto="1"/>
      </left>
      <right/>
      <top style="thin">
        <color indexed="64"/>
      </top>
      <bottom/>
      <diagonal/>
    </border>
    <border>
      <left/>
      <right style="mediumDashDot">
        <color auto="1"/>
      </right>
      <top style="thin">
        <color indexed="64"/>
      </top>
      <bottom/>
      <diagonal/>
    </border>
    <border>
      <left style="mediumDashDot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DashDot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DashDot">
        <color auto="1"/>
      </right>
      <top style="thin">
        <color indexed="64"/>
      </top>
      <bottom/>
      <diagonal/>
    </border>
    <border>
      <left style="mediumDash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0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0" fillId="0" borderId="3" xfId="0" applyBorder="1"/>
    <xf numFmtId="0" fontId="2" fillId="2" borderId="8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3" borderId="15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 textRotation="90"/>
    </xf>
    <xf numFmtId="0" fontId="4" fillId="3" borderId="0" xfId="0" applyFont="1" applyFill="1" applyAlignment="1">
      <alignment horizontal="center" vertical="center" textRotation="90"/>
    </xf>
    <xf numFmtId="0" fontId="4" fillId="3" borderId="21" xfId="0" applyFont="1" applyFill="1" applyBorder="1" applyAlignment="1">
      <alignment horizontal="center" vertical="center" textRotation="90"/>
    </xf>
    <xf numFmtId="0" fontId="2" fillId="0" borderId="17" xfId="0" applyFont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6" borderId="0" xfId="0" applyFill="1"/>
    <xf numFmtId="0" fontId="0" fillId="0" borderId="25" xfId="0" applyBorder="1"/>
    <xf numFmtId="0" fontId="0" fillId="0" borderId="26" xfId="0" applyBorder="1"/>
    <xf numFmtId="0" fontId="0" fillId="0" borderId="23" xfId="0" applyBorder="1"/>
    <xf numFmtId="0" fontId="6" fillId="0" borderId="0" xfId="0" applyFont="1" applyAlignment="1">
      <alignment vertical="top" wrapText="1"/>
    </xf>
    <xf numFmtId="0" fontId="9" fillId="0" borderId="0" xfId="0" applyFont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5" fillId="15" borderId="29" xfId="0" applyFont="1" applyFill="1" applyBorder="1" applyAlignment="1">
      <alignment wrapText="1"/>
    </xf>
    <xf numFmtId="0" fontId="5" fillId="16" borderId="0" xfId="0" applyFont="1" applyFill="1" applyAlignment="1">
      <alignment wrapText="1"/>
    </xf>
    <xf numFmtId="0" fontId="5" fillId="16" borderId="0" xfId="0" applyFont="1" applyFill="1" applyAlignment="1">
      <alignment horizontal="justify" wrapText="1"/>
    </xf>
    <xf numFmtId="0" fontId="5" fillId="17" borderId="0" xfId="0" applyFont="1" applyFill="1" applyAlignment="1">
      <alignment horizontal="justify" wrapText="1"/>
    </xf>
    <xf numFmtId="0" fontId="10" fillId="0" borderId="0" xfId="0" applyFont="1"/>
    <xf numFmtId="0" fontId="11" fillId="0" borderId="28" xfId="0" applyFont="1" applyBorder="1"/>
    <xf numFmtId="0" fontId="0" fillId="16" borderId="0" xfId="0" applyFill="1"/>
    <xf numFmtId="0" fontId="0" fillId="8" borderId="0" xfId="0" applyFill="1"/>
    <xf numFmtId="0" fontId="0" fillId="19" borderId="0" xfId="0" applyFill="1"/>
    <xf numFmtId="0" fontId="0" fillId="3" borderId="0" xfId="0" applyFill="1"/>
    <xf numFmtId="0" fontId="0" fillId="0" borderId="0" xfId="0" applyAlignment="1">
      <alignment horizontal="center" vertical="center" textRotation="255"/>
    </xf>
    <xf numFmtId="0" fontId="0" fillId="21" borderId="0" xfId="0" applyFill="1"/>
    <xf numFmtId="14" fontId="0" fillId="0" borderId="0" xfId="0" applyNumberFormat="1"/>
    <xf numFmtId="14" fontId="4" fillId="0" borderId="18" xfId="0" applyNumberFormat="1" applyFont="1" applyBorder="1" applyAlignment="1">
      <alignment horizontal="center"/>
    </xf>
    <xf numFmtId="14" fontId="4" fillId="0" borderId="18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 textRotation="90"/>
    </xf>
    <xf numFmtId="0" fontId="0" fillId="0" borderId="1" xfId="0" applyBorder="1" applyAlignment="1">
      <alignment horizontal="center" vertical="center" textRotation="90"/>
    </xf>
    <xf numFmtId="0" fontId="0" fillId="21" borderId="1" xfId="0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3" borderId="30" xfId="0" applyFill="1" applyBorder="1" applyAlignment="1">
      <alignment horizontal="center"/>
    </xf>
    <xf numFmtId="0" fontId="0" fillId="5" borderId="1" xfId="0" applyFill="1" applyBorder="1" applyAlignment="1">
      <alignment horizontal="center" vertical="center" textRotation="90"/>
    </xf>
    <xf numFmtId="0" fontId="13" fillId="18" borderId="1" xfId="0" applyFont="1" applyFill="1" applyBorder="1" applyAlignment="1">
      <alignment vertical="center"/>
    </xf>
    <xf numFmtId="0" fontId="13" fillId="18" borderId="1" xfId="0" applyFont="1" applyFill="1" applyBorder="1" applyAlignment="1">
      <alignment horizontal="center" vertical="center"/>
    </xf>
    <xf numFmtId="0" fontId="13" fillId="18" borderId="0" xfId="0" applyFont="1" applyFill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3" fillId="3" borderId="16" xfId="0" applyFont="1" applyFill="1" applyBorder="1" applyAlignment="1">
      <alignment horizontal="center" vertical="center"/>
    </xf>
    <xf numFmtId="0" fontId="4" fillId="3" borderId="33" xfId="0" applyFont="1" applyFill="1" applyBorder="1" applyAlignment="1">
      <alignment horizontal="center" vertical="center" textRotation="90"/>
    </xf>
    <xf numFmtId="0" fontId="4" fillId="4" borderId="8" xfId="0" applyFont="1" applyFill="1" applyBorder="1" applyAlignment="1">
      <alignment horizontal="center" vertical="center"/>
    </xf>
    <xf numFmtId="0" fontId="4" fillId="4" borderId="34" xfId="0" applyFont="1" applyFill="1" applyBorder="1" applyAlignment="1">
      <alignment horizontal="center" vertical="center"/>
    </xf>
    <xf numFmtId="0" fontId="2" fillId="0" borderId="35" xfId="0" applyFont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0" fontId="2" fillId="0" borderId="2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4" fillId="4" borderId="39" xfId="0" applyFont="1" applyFill="1" applyBorder="1" applyAlignment="1">
      <alignment horizontal="center" vertical="center"/>
    </xf>
    <xf numFmtId="0" fontId="2" fillId="0" borderId="23" xfId="0" applyFont="1" applyBorder="1" applyAlignment="1">
      <alignment vertical="center"/>
    </xf>
    <xf numFmtId="0" fontId="2" fillId="2" borderId="39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2" fillId="0" borderId="44" xfId="0" applyFont="1" applyBorder="1" applyAlignment="1">
      <alignment vertical="center"/>
    </xf>
    <xf numFmtId="0" fontId="2" fillId="2" borderId="34" xfId="0" applyFont="1" applyFill="1" applyBorder="1" applyAlignment="1">
      <alignment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39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4" fontId="4" fillId="24" borderId="18" xfId="0" applyNumberFormat="1" applyFont="1" applyFill="1" applyBorder="1" applyAlignment="1">
      <alignment horizontal="center" vertical="center"/>
    </xf>
    <xf numFmtId="0" fontId="4" fillId="24" borderId="6" xfId="0" applyFont="1" applyFill="1" applyBorder="1" applyAlignment="1">
      <alignment horizontal="center" vertical="center"/>
    </xf>
    <xf numFmtId="0" fontId="4" fillId="24" borderId="0" xfId="0" applyFont="1" applyFill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vertical="center"/>
    </xf>
    <xf numFmtId="0" fontId="4" fillId="3" borderId="36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vertical="center"/>
    </xf>
    <xf numFmtId="0" fontId="4" fillId="3" borderId="7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vertical="center"/>
    </xf>
    <xf numFmtId="0" fontId="3" fillId="3" borderId="41" xfId="0" applyFont="1" applyFill="1" applyBorder="1" applyAlignment="1">
      <alignment vertical="center"/>
    </xf>
    <xf numFmtId="0" fontId="0" fillId="0" borderId="42" xfId="0" applyBorder="1"/>
    <xf numFmtId="0" fontId="0" fillId="0" borderId="27" xfId="0" applyBorder="1"/>
    <xf numFmtId="0" fontId="0" fillId="0" borderId="4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9" xfId="0" applyBorder="1"/>
    <xf numFmtId="0" fontId="2" fillId="0" borderId="51" xfId="0" applyFont="1" applyBorder="1" applyAlignment="1">
      <alignment vertical="center"/>
    </xf>
    <xf numFmtId="0" fontId="2" fillId="0" borderId="52" xfId="0" applyFont="1" applyBorder="1" applyAlignment="1">
      <alignment horizontal="center" vertical="center"/>
    </xf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vertical="center"/>
    </xf>
    <xf numFmtId="0" fontId="2" fillId="0" borderId="50" xfId="0" applyFont="1" applyBorder="1" applyAlignment="1">
      <alignment horizontal="center" vertical="center"/>
    </xf>
    <xf numFmtId="0" fontId="2" fillId="0" borderId="52" xfId="0" applyFont="1" applyBorder="1" applyAlignment="1">
      <alignment vertical="center"/>
    </xf>
    <xf numFmtId="0" fontId="2" fillId="0" borderId="53" xfId="0" applyFont="1" applyBorder="1" applyAlignment="1">
      <alignment horizontal="center" vertical="center"/>
    </xf>
    <xf numFmtId="0" fontId="2" fillId="2" borderId="55" xfId="0" applyFont="1" applyFill="1" applyBorder="1" applyAlignment="1">
      <alignment horizontal="center" vertical="center"/>
    </xf>
    <xf numFmtId="0" fontId="2" fillId="2" borderId="56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40" xfId="0" applyFont="1" applyBorder="1" applyAlignment="1">
      <alignment vertical="center"/>
    </xf>
    <xf numFmtId="0" fontId="4" fillId="6" borderId="40" xfId="0" applyFont="1" applyFill="1" applyBorder="1" applyAlignment="1">
      <alignment vertical="center"/>
    </xf>
    <xf numFmtId="0" fontId="12" fillId="0" borderId="8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9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0" borderId="39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 textRotation="90"/>
    </xf>
    <xf numFmtId="0" fontId="2" fillId="0" borderId="40" xfId="0" applyFont="1" applyBorder="1" applyAlignment="1">
      <alignment horizontal="center" vertical="center"/>
    </xf>
    <xf numFmtId="0" fontId="2" fillId="6" borderId="40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6" borderId="39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2" fillId="25" borderId="28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 textRotation="90"/>
    </xf>
    <xf numFmtId="0" fontId="12" fillId="0" borderId="58" xfId="0" applyFont="1" applyBorder="1" applyAlignment="1">
      <alignment horizontal="center" vertical="center"/>
    </xf>
    <xf numFmtId="0" fontId="12" fillId="6" borderId="58" xfId="0" applyFont="1" applyFill="1" applyBorder="1" applyAlignment="1">
      <alignment horizontal="center" vertical="center"/>
    </xf>
    <xf numFmtId="0" fontId="2" fillId="26" borderId="61" xfId="0" applyFont="1" applyFill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6" borderId="22" xfId="0" applyFont="1" applyFill="1" applyBorder="1" applyAlignment="1">
      <alignment vertical="center"/>
    </xf>
    <xf numFmtId="0" fontId="4" fillId="0" borderId="28" xfId="0" applyFont="1" applyBorder="1" applyAlignment="1">
      <alignment horizontal="center" vertical="center"/>
    </xf>
    <xf numFmtId="14" fontId="4" fillId="0" borderId="48" xfId="0" applyNumberFormat="1" applyFont="1" applyBorder="1" applyAlignment="1">
      <alignment horizontal="center"/>
    </xf>
    <xf numFmtId="0" fontId="12" fillId="0" borderId="34" xfId="0" applyFont="1" applyBorder="1" applyAlignment="1">
      <alignment horizontal="center" vertical="center"/>
    </xf>
    <xf numFmtId="0" fontId="12" fillId="6" borderId="34" xfId="0" applyFont="1" applyFill="1" applyBorder="1" applyAlignment="1">
      <alignment horizontal="center" vertical="center"/>
    </xf>
    <xf numFmtId="0" fontId="4" fillId="0" borderId="49" xfId="0" applyFont="1" applyBorder="1" applyAlignment="1">
      <alignment horizontal="center"/>
    </xf>
    <xf numFmtId="0" fontId="1" fillId="10" borderId="40" xfId="0" applyFont="1" applyFill="1" applyBorder="1" applyAlignment="1">
      <alignment horizontal="center" vertical="center"/>
    </xf>
    <xf numFmtId="0" fontId="12" fillId="0" borderId="40" xfId="0" applyFont="1" applyBorder="1" applyAlignment="1">
      <alignment horizontal="left" vertical="center"/>
    </xf>
    <xf numFmtId="0" fontId="12" fillId="6" borderId="40" xfId="0" applyFont="1" applyFill="1" applyBorder="1" applyAlignment="1">
      <alignment horizontal="left" vertical="center"/>
    </xf>
    <xf numFmtId="0" fontId="2" fillId="0" borderId="32" xfId="0" applyFont="1" applyBorder="1" applyAlignment="1">
      <alignment horizontal="center"/>
    </xf>
    <xf numFmtId="0" fontId="2" fillId="0" borderId="34" xfId="0" applyFont="1" applyBorder="1" applyAlignment="1">
      <alignment horizontal="center" vertical="center"/>
    </xf>
    <xf numFmtId="0" fontId="1" fillId="10" borderId="34" xfId="0" applyFont="1" applyFill="1" applyBorder="1" applyAlignment="1">
      <alignment horizontal="center" vertical="center" textRotation="90"/>
    </xf>
    <xf numFmtId="0" fontId="4" fillId="0" borderId="34" xfId="0" applyFont="1" applyBorder="1" applyAlignment="1">
      <alignment horizontal="center"/>
    </xf>
    <xf numFmtId="0" fontId="4" fillId="6" borderId="34" xfId="0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12" fillId="0" borderId="19" xfId="0" applyFont="1" applyBorder="1" applyAlignment="1">
      <alignment horizontal="center" vertical="center"/>
    </xf>
    <xf numFmtId="0" fontId="12" fillId="6" borderId="19" xfId="0" applyFont="1" applyFill="1" applyBorder="1" applyAlignment="1">
      <alignment horizontal="center" vertical="center"/>
    </xf>
    <xf numFmtId="0" fontId="12" fillId="6" borderId="22" xfId="0" applyFont="1" applyFill="1" applyBorder="1" applyAlignment="1">
      <alignment horizontal="center" vertical="center"/>
    </xf>
    <xf numFmtId="0" fontId="1" fillId="10" borderId="70" xfId="0" applyFont="1" applyFill="1" applyBorder="1" applyAlignment="1">
      <alignment horizontal="center" vertical="center"/>
    </xf>
    <xf numFmtId="0" fontId="1" fillId="10" borderId="71" xfId="0" applyFont="1" applyFill="1" applyBorder="1" applyAlignment="1">
      <alignment horizontal="center" vertical="center"/>
    </xf>
    <xf numFmtId="0" fontId="12" fillId="0" borderId="70" xfId="0" applyFont="1" applyBorder="1" applyAlignment="1">
      <alignment horizontal="center" vertical="center"/>
    </xf>
    <xf numFmtId="0" fontId="12" fillId="0" borderId="71" xfId="0" applyFont="1" applyBorder="1" applyAlignment="1">
      <alignment horizontal="center" vertical="center"/>
    </xf>
    <xf numFmtId="0" fontId="12" fillId="6" borderId="70" xfId="0" applyFont="1" applyFill="1" applyBorder="1" applyAlignment="1">
      <alignment horizontal="center" vertical="center"/>
    </xf>
    <xf numFmtId="0" fontId="12" fillId="6" borderId="71" xfId="0" applyFont="1" applyFill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38" xfId="0" applyFont="1" applyBorder="1" applyAlignment="1">
      <alignment vertical="center"/>
    </xf>
    <xf numFmtId="0" fontId="2" fillId="0" borderId="45" xfId="0" applyFont="1" applyBorder="1" applyAlignment="1">
      <alignment vertical="center"/>
    </xf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vertical="center"/>
    </xf>
    <xf numFmtId="0" fontId="4" fillId="0" borderId="72" xfId="0" applyFont="1" applyBorder="1" applyAlignment="1">
      <alignment vertical="center"/>
    </xf>
    <xf numFmtId="0" fontId="12" fillId="0" borderId="1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68" xfId="0" applyFont="1" applyBorder="1" applyAlignment="1">
      <alignment horizontal="center" vertical="center"/>
    </xf>
    <xf numFmtId="0" fontId="12" fillId="0" borderId="73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12" fillId="0" borderId="74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/>
    </xf>
    <xf numFmtId="0" fontId="12" fillId="0" borderId="47" xfId="0" applyFont="1" applyBorder="1" applyAlignment="1">
      <alignment horizontal="center" vertical="center"/>
    </xf>
    <xf numFmtId="0" fontId="4" fillId="0" borderId="28" xfId="0" applyFont="1" applyBorder="1" applyAlignment="1">
      <alignment vertical="center"/>
    </xf>
    <xf numFmtId="0" fontId="12" fillId="0" borderId="75" xfId="0" applyFont="1" applyBorder="1" applyAlignment="1">
      <alignment horizontal="center" vertical="center"/>
    </xf>
    <xf numFmtId="0" fontId="12" fillId="0" borderId="72" xfId="0" applyFont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3" fillId="10" borderId="40" xfId="0" applyFont="1" applyFill="1" applyBorder="1" applyAlignment="1">
      <alignment vertical="center"/>
    </xf>
    <xf numFmtId="0" fontId="3" fillId="10" borderId="22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/>
    </xf>
    <xf numFmtId="0" fontId="8" fillId="0" borderId="40" xfId="0" applyFont="1" applyBorder="1" applyAlignment="1">
      <alignment horizontal="center" vertical="center" textRotation="90"/>
    </xf>
    <xf numFmtId="0" fontId="8" fillId="0" borderId="5" xfId="0" applyFont="1" applyBorder="1" applyAlignment="1">
      <alignment horizontal="center" vertical="center" textRotation="90"/>
    </xf>
    <xf numFmtId="0" fontId="8" fillId="0" borderId="6" xfId="0" applyFont="1" applyBorder="1" applyAlignment="1">
      <alignment horizontal="center" vertical="center" textRotation="90"/>
    </xf>
    <xf numFmtId="0" fontId="8" fillId="0" borderId="0" xfId="0" applyFont="1" applyAlignment="1">
      <alignment horizontal="center" vertical="center" textRotation="90"/>
    </xf>
    <xf numFmtId="0" fontId="8" fillId="0" borderId="31" xfId="0" applyFont="1" applyBorder="1" applyAlignment="1">
      <alignment horizontal="center" vertical="center" textRotation="90"/>
    </xf>
    <xf numFmtId="0" fontId="8" fillId="25" borderId="64" xfId="0" applyFont="1" applyFill="1" applyBorder="1" applyAlignment="1">
      <alignment horizontal="center" vertical="center" textRotation="90"/>
    </xf>
    <xf numFmtId="0" fontId="8" fillId="25" borderId="65" xfId="0" applyFont="1" applyFill="1" applyBorder="1" applyAlignment="1">
      <alignment horizontal="center" vertical="center" textRotation="90"/>
    </xf>
    <xf numFmtId="0" fontId="8" fillId="25" borderId="66" xfId="0" applyFont="1" applyFill="1" applyBorder="1" applyAlignment="1">
      <alignment horizontal="center" vertical="center" textRotation="90"/>
    </xf>
    <xf numFmtId="0" fontId="8" fillId="25" borderId="67" xfId="0" applyFont="1" applyFill="1" applyBorder="1" applyAlignment="1">
      <alignment horizontal="center" vertical="center" textRotation="90"/>
    </xf>
    <xf numFmtId="0" fontId="8" fillId="0" borderId="2" xfId="0" applyFont="1" applyBorder="1" applyAlignment="1">
      <alignment horizontal="center" vertical="center" textRotation="90"/>
    </xf>
    <xf numFmtId="0" fontId="8" fillId="0" borderId="1" xfId="0" applyFont="1" applyBorder="1" applyAlignment="1">
      <alignment horizontal="center" vertical="center" textRotation="90"/>
    </xf>
    <xf numFmtId="0" fontId="8" fillId="0" borderId="39" xfId="0" applyFont="1" applyBorder="1" applyAlignment="1">
      <alignment horizontal="center" vertical="center" textRotation="90"/>
    </xf>
    <xf numFmtId="0" fontId="8" fillId="25" borderId="58" xfId="0" applyFont="1" applyFill="1" applyBorder="1" applyAlignment="1">
      <alignment horizontal="center" vertical="center" textRotation="90"/>
    </xf>
    <xf numFmtId="0" fontId="8" fillId="25" borderId="1" xfId="0" applyFont="1" applyFill="1" applyBorder="1" applyAlignment="1">
      <alignment horizontal="center" vertical="center" textRotation="90"/>
    </xf>
    <xf numFmtId="0" fontId="8" fillId="25" borderId="39" xfId="0" applyFont="1" applyFill="1" applyBorder="1" applyAlignment="1">
      <alignment horizontal="center" vertical="center" textRotation="90"/>
    </xf>
    <xf numFmtId="0" fontId="8" fillId="0" borderId="62" xfId="0" applyFont="1" applyBorder="1" applyAlignment="1">
      <alignment horizontal="center" vertical="center" textRotation="90"/>
    </xf>
    <xf numFmtId="0" fontId="8" fillId="0" borderId="34" xfId="0" applyFont="1" applyBorder="1" applyAlignment="1">
      <alignment horizontal="center" vertical="center" textRotation="90"/>
    </xf>
    <xf numFmtId="0" fontId="8" fillId="0" borderId="7" xfId="0" applyFont="1" applyBorder="1" applyAlignment="1">
      <alignment horizontal="center" vertical="center" textRotation="90"/>
    </xf>
    <xf numFmtId="0" fontId="8" fillId="25" borderId="36" xfId="0" applyFont="1" applyFill="1" applyBorder="1" applyAlignment="1">
      <alignment horizontal="center" vertical="center" textRotation="90"/>
    </xf>
    <xf numFmtId="0" fontId="8" fillId="25" borderId="32" xfId="0" applyFont="1" applyFill="1" applyBorder="1" applyAlignment="1">
      <alignment horizontal="center" vertical="center" textRotation="90"/>
    </xf>
    <xf numFmtId="0" fontId="8" fillId="0" borderId="60" xfId="0" applyFont="1" applyBorder="1" applyAlignment="1">
      <alignment horizontal="center" vertical="center" textRotation="90"/>
    </xf>
    <xf numFmtId="0" fontId="8" fillId="0" borderId="57" xfId="0" applyFont="1" applyBorder="1" applyAlignment="1">
      <alignment horizontal="center" vertical="center" textRotation="90"/>
    </xf>
    <xf numFmtId="0" fontId="8" fillId="25" borderId="6" xfId="0" applyFont="1" applyFill="1" applyBorder="1" applyAlignment="1">
      <alignment horizontal="center" vertical="center" textRotation="90"/>
    </xf>
    <xf numFmtId="0" fontId="8" fillId="25" borderId="7" xfId="0" applyFont="1" applyFill="1" applyBorder="1" applyAlignment="1">
      <alignment horizontal="center" vertical="center" textRotation="90"/>
    </xf>
    <xf numFmtId="0" fontId="4" fillId="24" borderId="49" xfId="0" applyFont="1" applyFill="1" applyBorder="1" applyAlignment="1">
      <alignment horizontal="center" vertical="center"/>
    </xf>
    <xf numFmtId="0" fontId="4" fillId="24" borderId="48" xfId="0" applyFont="1" applyFill="1" applyBorder="1" applyAlignment="1">
      <alignment horizontal="center" vertical="center"/>
    </xf>
    <xf numFmtId="0" fontId="4" fillId="24" borderId="32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 textRotation="90"/>
    </xf>
    <xf numFmtId="0" fontId="4" fillId="3" borderId="48" xfId="0" applyFont="1" applyFill="1" applyBorder="1" applyAlignment="1">
      <alignment horizontal="center" vertical="center" textRotation="90"/>
    </xf>
    <xf numFmtId="0" fontId="4" fillId="3" borderId="32" xfId="0" applyFont="1" applyFill="1" applyBorder="1" applyAlignment="1">
      <alignment horizontal="center" vertical="center" textRotation="90"/>
    </xf>
    <xf numFmtId="0" fontId="4" fillId="3" borderId="49" xfId="0" applyFont="1" applyFill="1" applyBorder="1" applyAlignment="1">
      <alignment horizontal="center" vertical="center" textRotation="90"/>
    </xf>
    <xf numFmtId="0" fontId="4" fillId="3" borderId="48" xfId="0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center" vertical="center"/>
    </xf>
    <xf numFmtId="0" fontId="4" fillId="3" borderId="49" xfId="0" applyFont="1" applyFill="1" applyBorder="1" applyAlignment="1">
      <alignment horizontal="center" vertical="center"/>
    </xf>
    <xf numFmtId="0" fontId="2" fillId="25" borderId="59" xfId="0" applyFont="1" applyFill="1" applyBorder="1" applyAlignment="1">
      <alignment horizontal="center" vertical="center"/>
    </xf>
    <xf numFmtId="0" fontId="2" fillId="25" borderId="22" xfId="0" applyFont="1" applyFill="1" applyBorder="1" applyAlignment="1">
      <alignment horizontal="center" vertical="center"/>
    </xf>
    <xf numFmtId="0" fontId="2" fillId="25" borderId="34" xfId="0" applyFont="1" applyFill="1" applyBorder="1" applyAlignment="1">
      <alignment horizontal="center" vertical="center"/>
    </xf>
    <xf numFmtId="0" fontId="4" fillId="3" borderId="49" xfId="0" applyFont="1" applyFill="1" applyBorder="1" applyAlignment="1">
      <alignment horizontal="center"/>
    </xf>
    <xf numFmtId="0" fontId="4" fillId="3" borderId="48" xfId="0" applyFont="1" applyFill="1" applyBorder="1" applyAlignment="1">
      <alignment horizontal="center"/>
    </xf>
    <xf numFmtId="0" fontId="4" fillId="3" borderId="32" xfId="0" applyFont="1" applyFill="1" applyBorder="1" applyAlignment="1">
      <alignment horizontal="center"/>
    </xf>
    <xf numFmtId="0" fontId="4" fillId="7" borderId="49" xfId="0" applyFont="1" applyFill="1" applyBorder="1" applyAlignment="1">
      <alignment horizontal="center"/>
    </xf>
    <xf numFmtId="0" fontId="4" fillId="7" borderId="48" xfId="0" applyFont="1" applyFill="1" applyBorder="1" applyAlignment="1">
      <alignment horizontal="center"/>
    </xf>
    <xf numFmtId="0" fontId="4" fillId="7" borderId="63" xfId="0" applyFont="1" applyFill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9" borderId="49" xfId="0" applyFont="1" applyFill="1" applyBorder="1" applyAlignment="1">
      <alignment horizontal="center"/>
    </xf>
    <xf numFmtId="0" fontId="4" fillId="9" borderId="48" xfId="0" applyFont="1" applyFill="1" applyBorder="1" applyAlignment="1">
      <alignment horizontal="center"/>
    </xf>
    <xf numFmtId="0" fontId="2" fillId="8" borderId="13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8" borderId="38" xfId="0" applyFont="1" applyFill="1" applyBorder="1" applyAlignment="1">
      <alignment horizontal="center" vertical="center"/>
    </xf>
    <xf numFmtId="0" fontId="2" fillId="8" borderId="46" xfId="0" applyFont="1" applyFill="1" applyBorder="1" applyAlignment="1">
      <alignment horizontal="center" vertical="center"/>
    </xf>
    <xf numFmtId="0" fontId="2" fillId="26" borderId="13" xfId="0" applyFont="1" applyFill="1" applyBorder="1" applyAlignment="1">
      <alignment horizontal="center" vertical="center"/>
    </xf>
    <xf numFmtId="0" fontId="2" fillId="26" borderId="28" xfId="0" applyFont="1" applyFill="1" applyBorder="1" applyAlignment="1">
      <alignment horizontal="center" vertical="center"/>
    </xf>
    <xf numFmtId="0" fontId="2" fillId="8" borderId="40" xfId="0" applyFont="1" applyFill="1" applyBorder="1" applyAlignment="1">
      <alignment horizontal="center" vertical="center"/>
    </xf>
    <xf numFmtId="0" fontId="2" fillId="8" borderId="2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25" borderId="68" xfId="0" applyFont="1" applyFill="1" applyBorder="1" applyAlignment="1">
      <alignment horizontal="center" vertical="center"/>
    </xf>
    <xf numFmtId="0" fontId="2" fillId="25" borderId="28" xfId="0" applyFont="1" applyFill="1" applyBorder="1" applyAlignment="1">
      <alignment horizontal="center" vertical="center"/>
    </xf>
    <xf numFmtId="0" fontId="2" fillId="25" borderId="69" xfId="0" applyFont="1" applyFill="1" applyBorder="1" applyAlignment="1">
      <alignment horizontal="center" vertical="center"/>
    </xf>
    <xf numFmtId="0" fontId="0" fillId="23" borderId="0" xfId="0" applyFill="1" applyBorder="1" applyAlignment="1">
      <alignment horizontal="center"/>
    </xf>
    <xf numFmtId="0" fontId="0" fillId="0" borderId="76" xfId="0" applyBorder="1"/>
    <xf numFmtId="0" fontId="0" fillId="0" borderId="39" xfId="0" applyBorder="1"/>
    <xf numFmtId="0" fontId="0" fillId="0" borderId="2" xfId="0" applyBorder="1"/>
    <xf numFmtId="0" fontId="4" fillId="24" borderId="5" xfId="0" applyFont="1" applyFill="1" applyBorder="1" applyAlignment="1">
      <alignment horizontal="center" vertical="center"/>
    </xf>
    <xf numFmtId="0" fontId="14" fillId="24" borderId="7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3" fillId="3" borderId="14" xfId="0" applyFont="1" applyFill="1" applyBorder="1" applyAlignment="1">
      <alignment horizontal="left" vertical="center"/>
    </xf>
    <xf numFmtId="0" fontId="0" fillId="0" borderId="77" xfId="0" applyBorder="1"/>
    <xf numFmtId="0" fontId="0" fillId="0" borderId="8" xfId="0" applyBorder="1"/>
    <xf numFmtId="0" fontId="4" fillId="24" borderId="36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14" fillId="24" borderId="5" xfId="0" applyFont="1" applyFill="1" applyBorder="1" applyAlignment="1">
      <alignment horizontal="center" vertical="center"/>
    </xf>
    <xf numFmtId="0" fontId="4" fillId="6" borderId="34" xfId="0" applyFont="1" applyFill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24" borderId="18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3" fillId="3" borderId="41" xfId="0" applyFont="1" applyFill="1" applyBorder="1" applyAlignment="1">
      <alignment horizontal="left" vertical="center"/>
    </xf>
    <xf numFmtId="0" fontId="2" fillId="6" borderId="19" xfId="0" applyFont="1" applyFill="1" applyBorder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E697"/>
      <color rgb="FFFF9933"/>
      <color rgb="FF0066CC"/>
      <color rgb="FFED8F69"/>
      <color rgb="FFFF99CC"/>
      <color rgb="FF922E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BL16"/>
  <sheetViews>
    <sheetView showZeros="0" topLeftCell="A4" zoomScale="90" zoomScaleNormal="90" workbookViewId="0">
      <pane xSplit="1" topLeftCell="B1" activePane="topRight" state="frozen"/>
      <selection pane="topRight" activeCell="C19" sqref="C19"/>
    </sheetView>
  </sheetViews>
  <sheetFormatPr baseColWidth="10" defaultRowHeight="14.5" x14ac:dyDescent="0.35"/>
  <cols>
    <col min="1" max="1" width="19.1796875" customWidth="1"/>
    <col min="2" max="61" width="5.7265625" customWidth="1"/>
    <col min="62" max="62" width="21.54296875" customWidth="1"/>
  </cols>
  <sheetData>
    <row r="1" spans="1:64" x14ac:dyDescent="0.35">
      <c r="A1" t="s">
        <v>68</v>
      </c>
      <c r="B1" s="54"/>
      <c r="C1" s="54"/>
      <c r="E1" t="s">
        <v>61</v>
      </c>
    </row>
    <row r="3" spans="1:64" x14ac:dyDescent="0.35">
      <c r="B3" s="66"/>
      <c r="C3" s="267"/>
      <c r="D3" s="53"/>
      <c r="E3" s="53"/>
      <c r="F3" s="53"/>
      <c r="G3" s="49" t="s">
        <v>64</v>
      </c>
      <c r="H3" s="49"/>
      <c r="I3" s="49"/>
      <c r="J3" s="49"/>
      <c r="K3" s="49"/>
      <c r="L3" s="49"/>
      <c r="M3" s="49"/>
      <c r="N3" s="49"/>
      <c r="O3" s="49"/>
      <c r="P3" s="49"/>
      <c r="Q3" s="49"/>
      <c r="R3" s="50"/>
      <c r="S3" s="50"/>
      <c r="T3" s="50"/>
      <c r="U3" s="50" t="s">
        <v>65</v>
      </c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1" t="s">
        <v>62</v>
      </c>
      <c r="BE3" s="51"/>
      <c r="BF3" s="51"/>
      <c r="BG3" s="51"/>
      <c r="BH3" s="51"/>
      <c r="BI3" s="51"/>
      <c r="BJ3" s="48" t="s">
        <v>63</v>
      </c>
    </row>
    <row r="4" spans="1:64" s="25" customFormat="1" ht="102" x14ac:dyDescent="0.35">
      <c r="A4" s="57"/>
      <c r="B4" s="67" t="s">
        <v>8</v>
      </c>
      <c r="C4" s="67" t="s">
        <v>163</v>
      </c>
      <c r="D4" s="58" t="s">
        <v>10</v>
      </c>
      <c r="E4" s="58" t="s">
        <v>20</v>
      </c>
      <c r="F4" s="58" t="s">
        <v>15</v>
      </c>
      <c r="G4" s="58" t="s">
        <v>47</v>
      </c>
      <c r="H4" s="58" t="s">
        <v>160</v>
      </c>
      <c r="I4" s="58" t="s">
        <v>75</v>
      </c>
      <c r="J4" s="58" t="s">
        <v>34</v>
      </c>
      <c r="K4" s="58" t="s">
        <v>161</v>
      </c>
      <c r="L4" s="58" t="s">
        <v>156</v>
      </c>
      <c r="M4" s="58" t="s">
        <v>77</v>
      </c>
      <c r="N4" s="58" t="s">
        <v>76</v>
      </c>
      <c r="O4" s="58" t="s">
        <v>78</v>
      </c>
      <c r="P4" s="58" t="s">
        <v>35</v>
      </c>
      <c r="Q4" s="58" t="s">
        <v>43</v>
      </c>
      <c r="R4" s="58" t="s">
        <v>26</v>
      </c>
      <c r="S4" s="153" t="s">
        <v>146</v>
      </c>
      <c r="T4" s="58" t="s">
        <v>147</v>
      </c>
      <c r="U4" s="153" t="s">
        <v>109</v>
      </c>
      <c r="V4" s="58" t="s">
        <v>108</v>
      </c>
      <c r="W4" s="153" t="s">
        <v>107</v>
      </c>
      <c r="X4" s="58" t="s">
        <v>110</v>
      </c>
      <c r="Y4" s="153" t="s">
        <v>145</v>
      </c>
      <c r="Z4" s="58" t="s">
        <v>111</v>
      </c>
      <c r="AA4" s="153" t="s">
        <v>112</v>
      </c>
      <c r="AB4" s="58" t="s">
        <v>113</v>
      </c>
      <c r="AC4" s="153" t="s">
        <v>143</v>
      </c>
      <c r="AD4" s="58" t="s">
        <v>142</v>
      </c>
      <c r="AE4" s="153" t="s">
        <v>114</v>
      </c>
      <c r="AF4" s="58" t="s">
        <v>115</v>
      </c>
      <c r="AG4" s="153" t="s">
        <v>116</v>
      </c>
      <c r="AH4" s="58" t="s">
        <v>117</v>
      </c>
      <c r="AI4" s="153" t="s">
        <v>118</v>
      </c>
      <c r="AJ4" s="58" t="s">
        <v>119</v>
      </c>
      <c r="AK4" s="153" t="s">
        <v>120</v>
      </c>
      <c r="AL4" s="58" t="s">
        <v>121</v>
      </c>
      <c r="AM4" s="153" t="s">
        <v>122</v>
      </c>
      <c r="AN4" s="58" t="s">
        <v>123</v>
      </c>
      <c r="AO4" s="153" t="s">
        <v>124</v>
      </c>
      <c r="AP4" s="58" t="s">
        <v>125</v>
      </c>
      <c r="AQ4" s="153" t="s">
        <v>126</v>
      </c>
      <c r="AR4" s="58" t="s">
        <v>127</v>
      </c>
      <c r="AS4" s="153" t="s">
        <v>128</v>
      </c>
      <c r="AT4" s="58" t="s">
        <v>129</v>
      </c>
      <c r="AU4" s="153" t="s">
        <v>130</v>
      </c>
      <c r="AV4" s="58" t="s">
        <v>131</v>
      </c>
      <c r="AW4" s="153" t="s">
        <v>144</v>
      </c>
      <c r="AX4" s="58" t="s">
        <v>132</v>
      </c>
      <c r="AY4" s="58" t="s">
        <v>133</v>
      </c>
      <c r="AZ4" s="58" t="s">
        <v>134</v>
      </c>
      <c r="BA4" s="58" t="s">
        <v>135</v>
      </c>
      <c r="BB4" s="58" t="s">
        <v>136</v>
      </c>
      <c r="BC4" s="58" t="s">
        <v>137</v>
      </c>
      <c r="BD4" s="58" t="s">
        <v>11</v>
      </c>
      <c r="BE4" s="58" t="s">
        <v>138</v>
      </c>
      <c r="BF4" s="58" t="s">
        <v>139</v>
      </c>
      <c r="BG4" s="58" t="s">
        <v>140</v>
      </c>
      <c r="BH4" s="58" t="s">
        <v>141</v>
      </c>
      <c r="BI4" s="58" t="s">
        <v>66</v>
      </c>
      <c r="BJ4" s="58"/>
    </row>
    <row r="5" spans="1:64" s="70" customFormat="1" ht="20.149999999999999" customHeight="1" x14ac:dyDescent="0.35">
      <c r="A5" s="68"/>
      <c r="B5" s="69">
        <f t="shared" ref="B5:Q5" si="0">SUM(B6:B15)</f>
        <v>0</v>
      </c>
      <c r="C5" s="69">
        <f t="shared" si="0"/>
        <v>0</v>
      </c>
      <c r="D5" s="69">
        <f t="shared" si="0"/>
        <v>0</v>
      </c>
      <c r="E5" s="69">
        <f t="shared" si="0"/>
        <v>0</v>
      </c>
      <c r="F5" s="69">
        <f t="shared" si="0"/>
        <v>0</v>
      </c>
      <c r="G5" s="69">
        <f t="shared" si="0"/>
        <v>0</v>
      </c>
      <c r="H5" s="69">
        <f t="shared" si="0"/>
        <v>0</v>
      </c>
      <c r="I5" s="69">
        <f t="shared" si="0"/>
        <v>0</v>
      </c>
      <c r="J5" s="69">
        <f t="shared" si="0"/>
        <v>0</v>
      </c>
      <c r="K5" s="69">
        <f t="shared" si="0"/>
        <v>0</v>
      </c>
      <c r="L5" s="69">
        <f t="shared" si="0"/>
        <v>0</v>
      </c>
      <c r="M5" s="69">
        <f t="shared" si="0"/>
        <v>0</v>
      </c>
      <c r="N5" s="69">
        <f t="shared" si="0"/>
        <v>0</v>
      </c>
      <c r="O5" s="69">
        <f t="shared" si="0"/>
        <v>0</v>
      </c>
      <c r="P5" s="69">
        <f t="shared" si="0"/>
        <v>0</v>
      </c>
      <c r="Q5" s="69">
        <f t="shared" si="0"/>
        <v>0</v>
      </c>
      <c r="R5" s="69"/>
      <c r="S5" s="69"/>
      <c r="T5" s="69"/>
      <c r="U5" s="69">
        <f>SUM(U6:U15)</f>
        <v>0</v>
      </c>
      <c r="V5" s="69">
        <f>SUM(V6:V15)</f>
        <v>0</v>
      </c>
      <c r="W5" s="69"/>
      <c r="X5" s="69">
        <f t="shared" ref="X5:BI5" si="1">SUM(X6:X15)</f>
        <v>0</v>
      </c>
      <c r="Y5" s="69">
        <f t="shared" si="1"/>
        <v>0</v>
      </c>
      <c r="Z5" s="69">
        <f t="shared" si="1"/>
        <v>0</v>
      </c>
      <c r="AA5" s="69">
        <f t="shared" si="1"/>
        <v>0</v>
      </c>
      <c r="AB5" s="69">
        <f t="shared" si="1"/>
        <v>0</v>
      </c>
      <c r="AC5" s="69">
        <f t="shared" si="1"/>
        <v>0</v>
      </c>
      <c r="AD5" s="69">
        <f t="shared" si="1"/>
        <v>0</v>
      </c>
      <c r="AE5" s="69">
        <f t="shared" si="1"/>
        <v>0</v>
      </c>
      <c r="AF5" s="69">
        <f t="shared" si="1"/>
        <v>0</v>
      </c>
      <c r="AG5" s="69">
        <f t="shared" si="1"/>
        <v>0</v>
      </c>
      <c r="AH5" s="69">
        <f t="shared" si="1"/>
        <v>0</v>
      </c>
      <c r="AI5" s="69">
        <f t="shared" si="1"/>
        <v>0</v>
      </c>
      <c r="AJ5" s="69">
        <f t="shared" si="1"/>
        <v>0</v>
      </c>
      <c r="AK5" s="69">
        <f t="shared" si="1"/>
        <v>0</v>
      </c>
      <c r="AL5" s="69">
        <f t="shared" si="1"/>
        <v>0</v>
      </c>
      <c r="AM5" s="69">
        <f t="shared" si="1"/>
        <v>0</v>
      </c>
      <c r="AN5" s="69">
        <f t="shared" si="1"/>
        <v>0</v>
      </c>
      <c r="AO5" s="69">
        <f t="shared" si="1"/>
        <v>0</v>
      </c>
      <c r="AP5" s="69">
        <f t="shared" si="1"/>
        <v>0</v>
      </c>
      <c r="AQ5" s="69">
        <f t="shared" si="1"/>
        <v>0</v>
      </c>
      <c r="AR5" s="69">
        <f t="shared" si="1"/>
        <v>0</v>
      </c>
      <c r="AS5" s="69">
        <f t="shared" si="1"/>
        <v>0</v>
      </c>
      <c r="AT5" s="69">
        <f t="shared" si="1"/>
        <v>0</v>
      </c>
      <c r="AU5" s="69">
        <f t="shared" si="1"/>
        <v>0</v>
      </c>
      <c r="AV5" s="69">
        <f t="shared" si="1"/>
        <v>0</v>
      </c>
      <c r="AW5" s="69">
        <f t="shared" si="1"/>
        <v>0</v>
      </c>
      <c r="AX5" s="69">
        <f t="shared" si="1"/>
        <v>0</v>
      </c>
      <c r="AY5" s="69">
        <f t="shared" si="1"/>
        <v>0</v>
      </c>
      <c r="AZ5" s="69">
        <f t="shared" si="1"/>
        <v>0</v>
      </c>
      <c r="BA5" s="69">
        <f t="shared" si="1"/>
        <v>0</v>
      </c>
      <c r="BB5" s="69">
        <f t="shared" si="1"/>
        <v>0</v>
      </c>
      <c r="BC5" s="69">
        <f t="shared" si="1"/>
        <v>0</v>
      </c>
      <c r="BD5" s="69">
        <f t="shared" si="1"/>
        <v>0</v>
      </c>
      <c r="BE5" s="69">
        <f t="shared" si="1"/>
        <v>0</v>
      </c>
      <c r="BF5" s="69">
        <f t="shared" si="1"/>
        <v>0</v>
      </c>
      <c r="BG5" s="69">
        <f t="shared" si="1"/>
        <v>0</v>
      </c>
      <c r="BH5" s="69">
        <f t="shared" si="1"/>
        <v>0</v>
      </c>
      <c r="BI5" s="69">
        <f t="shared" si="1"/>
        <v>0</v>
      </c>
      <c r="BJ5" s="69"/>
    </row>
    <row r="6" spans="1:64" s="25" customFormat="1" x14ac:dyDescent="0.35">
      <c r="A6" s="1" t="s">
        <v>1</v>
      </c>
      <c r="B6" s="65"/>
      <c r="C6" s="65"/>
      <c r="D6" s="59"/>
      <c r="E6" s="59"/>
      <c r="F6" s="59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3"/>
      <c r="BE6" s="63"/>
      <c r="BF6" s="63"/>
      <c r="BG6" s="63"/>
      <c r="BH6" s="63"/>
      <c r="BI6" s="63"/>
      <c r="BJ6" s="64"/>
      <c r="BK6" s="52"/>
      <c r="BL6" s="52"/>
    </row>
    <row r="7" spans="1:64" s="25" customFormat="1" x14ac:dyDescent="0.35">
      <c r="A7" s="1" t="s">
        <v>42</v>
      </c>
      <c r="B7" s="65"/>
      <c r="C7" s="65"/>
      <c r="D7" s="59"/>
      <c r="E7" s="59"/>
      <c r="F7" s="59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3"/>
      <c r="BE7" s="63"/>
      <c r="BF7" s="63"/>
      <c r="BG7" s="63"/>
      <c r="BH7" s="63"/>
      <c r="BI7" s="63"/>
      <c r="BJ7" s="64"/>
      <c r="BK7" s="52"/>
      <c r="BL7" s="52"/>
    </row>
    <row r="8" spans="1:64" s="25" customFormat="1" x14ac:dyDescent="0.35">
      <c r="A8" s="1" t="s">
        <v>40</v>
      </c>
      <c r="B8" s="65"/>
      <c r="C8" s="65"/>
      <c r="D8" s="59"/>
      <c r="E8" s="59"/>
      <c r="F8" s="59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3"/>
      <c r="BE8" s="63"/>
      <c r="BF8" s="63"/>
      <c r="BG8" s="63"/>
      <c r="BH8" s="63"/>
      <c r="BI8" s="63"/>
      <c r="BJ8" s="64"/>
      <c r="BK8" s="52"/>
      <c r="BL8" s="52"/>
    </row>
    <row r="9" spans="1:64" s="25" customFormat="1" x14ac:dyDescent="0.35">
      <c r="A9" s="1" t="s">
        <v>41</v>
      </c>
      <c r="B9" s="65"/>
      <c r="C9" s="65"/>
      <c r="D9" s="59"/>
      <c r="E9" s="59"/>
      <c r="F9" s="59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3"/>
      <c r="BE9" s="63"/>
      <c r="BF9" s="63"/>
      <c r="BG9" s="63"/>
      <c r="BH9" s="63"/>
      <c r="BI9" s="63"/>
      <c r="BJ9" s="64"/>
      <c r="BK9" s="52"/>
      <c r="BL9" s="52"/>
    </row>
    <row r="10" spans="1:64" s="25" customFormat="1" x14ac:dyDescent="0.35">
      <c r="A10" s="1" t="s">
        <v>148</v>
      </c>
      <c r="B10" s="65"/>
      <c r="C10" s="65"/>
      <c r="D10" s="59"/>
      <c r="E10" s="59"/>
      <c r="F10" s="59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3"/>
      <c r="BE10" s="63"/>
      <c r="BF10" s="63"/>
      <c r="BG10" s="63"/>
      <c r="BH10" s="63"/>
      <c r="BI10" s="63"/>
      <c r="BJ10" s="64"/>
      <c r="BK10" s="52"/>
      <c r="BL10" s="52"/>
    </row>
    <row r="11" spans="1:64" s="25" customFormat="1" x14ac:dyDescent="0.35">
      <c r="A11" s="1" t="s">
        <v>7</v>
      </c>
      <c r="B11" s="65"/>
      <c r="C11" s="65"/>
      <c r="D11" s="59"/>
      <c r="E11" s="59"/>
      <c r="F11" s="59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3"/>
      <c r="BE11" s="63"/>
      <c r="BF11" s="63"/>
      <c r="BG11" s="63"/>
      <c r="BH11" s="63"/>
      <c r="BI11" s="63"/>
      <c r="BJ11" s="64"/>
      <c r="BK11" s="52"/>
      <c r="BL11" s="52"/>
    </row>
    <row r="12" spans="1:64" s="25" customFormat="1" x14ac:dyDescent="0.35">
      <c r="A12" s="1" t="s">
        <v>5</v>
      </c>
      <c r="B12" s="65"/>
      <c r="C12" s="65"/>
      <c r="D12" s="59"/>
      <c r="E12" s="59"/>
      <c r="F12" s="59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3"/>
      <c r="BE12" s="63"/>
      <c r="BF12" s="63"/>
      <c r="BG12" s="63"/>
      <c r="BH12" s="63"/>
      <c r="BI12" s="63"/>
      <c r="BJ12" s="64"/>
      <c r="BK12" s="52"/>
      <c r="BL12" s="52"/>
    </row>
    <row r="13" spans="1:64" s="25" customFormat="1" x14ac:dyDescent="0.35">
      <c r="A13" s="1" t="s">
        <v>32</v>
      </c>
      <c r="B13" s="65"/>
      <c r="C13" s="65"/>
      <c r="D13" s="59"/>
      <c r="E13" s="59"/>
      <c r="F13" s="59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3"/>
      <c r="BE13" s="63"/>
      <c r="BF13" s="63"/>
      <c r="BG13" s="63"/>
      <c r="BH13" s="63"/>
      <c r="BI13" s="63"/>
      <c r="BJ13" s="64"/>
      <c r="BK13" s="52"/>
      <c r="BL13" s="52"/>
    </row>
    <row r="14" spans="1:64" s="25" customFormat="1" x14ac:dyDescent="0.35">
      <c r="A14" s="1" t="s">
        <v>153</v>
      </c>
      <c r="B14" s="65"/>
      <c r="C14" s="65"/>
      <c r="D14" s="59"/>
      <c r="E14" s="59"/>
      <c r="F14" s="59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3"/>
      <c r="BE14" s="63"/>
      <c r="BF14" s="63"/>
      <c r="BG14" s="63"/>
      <c r="BH14" s="63"/>
      <c r="BI14" s="63"/>
      <c r="BJ14" s="64"/>
      <c r="BK14" s="52"/>
      <c r="BL14" s="52"/>
    </row>
    <row r="15" spans="1:64" s="25" customFormat="1" x14ac:dyDescent="0.35">
      <c r="A15" s="1" t="s">
        <v>6</v>
      </c>
      <c r="B15" s="65"/>
      <c r="C15" s="65"/>
      <c r="D15" s="59"/>
      <c r="E15" s="59"/>
      <c r="F15" s="59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3"/>
      <c r="BE15" s="63"/>
      <c r="BF15" s="63"/>
      <c r="BG15" s="63"/>
      <c r="BH15" s="63"/>
      <c r="BI15" s="63"/>
      <c r="BJ15" s="64"/>
      <c r="BK15" s="52"/>
      <c r="BL15" s="52"/>
    </row>
    <row r="16" spans="1:64" s="25" customFormat="1" x14ac:dyDescent="0.35">
      <c r="A16" s="1" t="s">
        <v>159</v>
      </c>
      <c r="B16" s="65"/>
      <c r="C16" s="65"/>
      <c r="D16" s="59"/>
      <c r="E16" s="59"/>
      <c r="F16" s="59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3"/>
      <c r="BE16" s="63"/>
      <c r="BF16" s="63"/>
      <c r="BG16" s="63"/>
      <c r="BH16" s="63"/>
      <c r="BI16" s="63"/>
      <c r="BJ16" s="64"/>
      <c r="BK16" s="52"/>
      <c r="BL16" s="52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1:M14"/>
  <sheetViews>
    <sheetView showZeros="0" tabSelected="1" view="pageBreakPreview" zoomScale="70" zoomScaleNormal="70" zoomScaleSheetLayoutView="70" workbookViewId="0">
      <selection activeCell="G19" sqref="G19"/>
    </sheetView>
  </sheetViews>
  <sheetFormatPr baseColWidth="10" defaultRowHeight="14.5" x14ac:dyDescent="0.35"/>
  <cols>
    <col min="1" max="1" width="15.7265625" style="1" customWidth="1"/>
    <col min="2" max="2" width="13.1796875" style="269" customWidth="1"/>
    <col min="3" max="3" width="13.08984375" style="277" customWidth="1"/>
    <col min="4" max="4" width="11.453125" style="117" customWidth="1"/>
    <col min="5" max="5" width="9.54296875" style="270" customWidth="1"/>
    <col min="6" max="6" width="10.90625" style="1" customWidth="1"/>
    <col min="7" max="9" width="16.26953125" style="1" customWidth="1"/>
    <col min="10" max="11" width="8.1796875" style="1" customWidth="1"/>
    <col min="12" max="12" width="8.81640625" style="1" customWidth="1"/>
    <col min="13" max="13" width="13.26953125" style="1" customWidth="1"/>
  </cols>
  <sheetData>
    <row r="1" spans="1:13" s="102" customFormat="1" ht="25" customHeight="1" x14ac:dyDescent="0.35">
      <c r="A1" s="100">
        <f>Gesamt!B1</f>
        <v>0</v>
      </c>
      <c r="B1" s="284" t="s">
        <v>8</v>
      </c>
      <c r="C1" s="271" t="s">
        <v>163</v>
      </c>
      <c r="D1" s="272" t="s">
        <v>9</v>
      </c>
      <c r="E1" s="280" t="s">
        <v>10</v>
      </c>
      <c r="F1" s="272" t="s">
        <v>9</v>
      </c>
      <c r="G1" s="278"/>
      <c r="H1" s="101"/>
      <c r="I1" s="101"/>
      <c r="J1" s="233" t="s">
        <v>11</v>
      </c>
      <c r="K1" s="234"/>
      <c r="L1" s="235"/>
      <c r="M1" s="101"/>
    </row>
    <row r="2" spans="1:13" s="15" customFormat="1" ht="25" customHeight="1" thickBot="1" x14ac:dyDescent="0.4">
      <c r="A2" s="111" t="s">
        <v>0</v>
      </c>
      <c r="B2" s="285"/>
      <c r="C2" s="106" t="s">
        <v>8</v>
      </c>
      <c r="D2" s="14" t="s">
        <v>16</v>
      </c>
      <c r="E2" s="106" t="s">
        <v>8</v>
      </c>
      <c r="F2" s="14" t="s">
        <v>16</v>
      </c>
      <c r="G2" s="103"/>
      <c r="H2" s="13"/>
      <c r="I2" s="13"/>
      <c r="J2" s="106" t="s">
        <v>12</v>
      </c>
      <c r="K2" s="13" t="s">
        <v>73</v>
      </c>
      <c r="L2" s="14" t="s">
        <v>13</v>
      </c>
      <c r="M2" s="13" t="s">
        <v>33</v>
      </c>
    </row>
    <row r="3" spans="1:13" s="82" customFormat="1" ht="25" customHeight="1" x14ac:dyDescent="0.35">
      <c r="A3" s="289" t="s">
        <v>1</v>
      </c>
      <c r="B3" s="286">
        <f>Gesamt!B6</f>
        <v>0</v>
      </c>
      <c r="C3" s="273">
        <f>Gesamt!C6</f>
        <v>0</v>
      </c>
      <c r="D3" s="81">
        <f>B3*1.1</f>
        <v>0</v>
      </c>
      <c r="E3" s="273">
        <f>Gesamt!D6</f>
        <v>0</v>
      </c>
      <c r="F3" s="81">
        <f>E3*1.1</f>
        <v>0</v>
      </c>
      <c r="G3" s="279"/>
      <c r="H3" s="80"/>
      <c r="I3" s="80"/>
      <c r="J3" s="147">
        <f>Gesamt!BE6</f>
        <v>0</v>
      </c>
      <c r="K3" s="80">
        <f>Gesamt!BF6</f>
        <v>0</v>
      </c>
      <c r="L3" s="81">
        <f>Gesamt!BG6</f>
        <v>0</v>
      </c>
      <c r="M3" s="80">
        <f>Gesamt!BD6</f>
        <v>0</v>
      </c>
    </row>
    <row r="4" spans="1:13" s="4" customFormat="1" ht="25" customHeight="1" x14ac:dyDescent="0.35">
      <c r="A4" s="17" t="s">
        <v>2</v>
      </c>
      <c r="B4" s="287">
        <f>Gesamt!B7</f>
        <v>0</v>
      </c>
      <c r="C4" s="274"/>
      <c r="D4" s="60">
        <f>B4*1.1</f>
        <v>0</v>
      </c>
      <c r="E4" s="274">
        <f>Gesamt!D7</f>
        <v>0</v>
      </c>
      <c r="F4" s="60">
        <f>E4*1.1</f>
        <v>0</v>
      </c>
      <c r="G4" s="21"/>
      <c r="H4" s="2"/>
      <c r="I4" s="2"/>
      <c r="J4" s="146">
        <f>Gesamt!BE7</f>
        <v>0</v>
      </c>
      <c r="K4" s="71">
        <f>Gesamt!BF7</f>
        <v>0</v>
      </c>
      <c r="L4" s="60">
        <f>Gesamt!BG7</f>
        <v>0</v>
      </c>
      <c r="M4" s="2">
        <f>Gesamt!BD7</f>
        <v>0</v>
      </c>
    </row>
    <row r="5" spans="1:13" s="82" customFormat="1" ht="25" customHeight="1" x14ac:dyDescent="0.35">
      <c r="A5" s="289" t="s">
        <v>3</v>
      </c>
      <c r="B5" s="286">
        <f>Gesamt!B8</f>
        <v>0</v>
      </c>
      <c r="C5" s="273">
        <f>Gesamt!C8</f>
        <v>0</v>
      </c>
      <c r="D5" s="81">
        <f t="shared" ref="D5:D12" si="0">B5*1.1</f>
        <v>0</v>
      </c>
      <c r="E5" s="273">
        <f>Gesamt!D8</f>
        <v>0</v>
      </c>
      <c r="F5" s="81">
        <f t="shared" ref="F5:F12" si="1">E5*1.1</f>
        <v>0</v>
      </c>
      <c r="G5" s="279"/>
      <c r="H5" s="80"/>
      <c r="I5" s="80"/>
      <c r="J5" s="147">
        <f>Gesamt!BE8</f>
        <v>0</v>
      </c>
      <c r="K5" s="80">
        <f>Gesamt!BF8</f>
        <v>0</v>
      </c>
      <c r="L5" s="81">
        <f>Gesamt!BG8</f>
        <v>0</v>
      </c>
      <c r="M5" s="80">
        <f>Gesamt!BD8</f>
        <v>0</v>
      </c>
    </row>
    <row r="6" spans="1:13" s="4" customFormat="1" ht="25" customHeight="1" x14ac:dyDescent="0.35">
      <c r="A6" s="17" t="s">
        <v>4</v>
      </c>
      <c r="B6" s="287">
        <f>Gesamt!B9</f>
        <v>0</v>
      </c>
      <c r="C6" s="274">
        <f>Gesamt!C9</f>
        <v>0</v>
      </c>
      <c r="D6" s="60">
        <f t="shared" si="0"/>
        <v>0</v>
      </c>
      <c r="E6" s="274">
        <f>Gesamt!D9</f>
        <v>0</v>
      </c>
      <c r="F6" s="60">
        <f t="shared" si="1"/>
        <v>0</v>
      </c>
      <c r="G6" s="21"/>
      <c r="H6" s="2"/>
      <c r="I6" s="2"/>
      <c r="J6" s="146">
        <f>Gesamt!BE9</f>
        <v>0</v>
      </c>
      <c r="K6" s="71">
        <f>Gesamt!BF9</f>
        <v>0</v>
      </c>
      <c r="L6" s="60">
        <f>Gesamt!BG9</f>
        <v>0</v>
      </c>
      <c r="M6" s="2">
        <f>Gesamt!BD9</f>
        <v>0</v>
      </c>
    </row>
    <row r="7" spans="1:13" s="82" customFormat="1" ht="25" customHeight="1" x14ac:dyDescent="0.35">
      <c r="A7" s="289" t="s">
        <v>148</v>
      </c>
      <c r="B7" s="286">
        <f>Gesamt!B10</f>
        <v>0</v>
      </c>
      <c r="C7" s="273">
        <f>Gesamt!C10</f>
        <v>0</v>
      </c>
      <c r="D7" s="81">
        <f>B7*1.1</f>
        <v>0</v>
      </c>
      <c r="E7" s="273">
        <f>Gesamt!D10</f>
        <v>0</v>
      </c>
      <c r="F7" s="81">
        <f>E7*1.1</f>
        <v>0</v>
      </c>
      <c r="G7" s="279"/>
      <c r="H7" s="80"/>
      <c r="I7" s="80"/>
      <c r="J7" s="147">
        <f>Gesamt!BE10</f>
        <v>0</v>
      </c>
      <c r="K7" s="80">
        <f>Gesamt!BF10</f>
        <v>0</v>
      </c>
      <c r="L7" s="81">
        <f>Gesamt!BG10</f>
        <v>0</v>
      </c>
      <c r="M7" s="80">
        <f>Gesamt!BD10</f>
        <v>0</v>
      </c>
    </row>
    <row r="8" spans="1:13" s="4" customFormat="1" ht="25" customHeight="1" x14ac:dyDescent="0.35">
      <c r="A8" s="17" t="s">
        <v>7</v>
      </c>
      <c r="B8" s="287">
        <f>Gesamt!B11</f>
        <v>0</v>
      </c>
      <c r="C8" s="274">
        <f>Gesamt!C11</f>
        <v>0</v>
      </c>
      <c r="D8" s="60">
        <f>B8*1.1</f>
        <v>0</v>
      </c>
      <c r="E8" s="274">
        <f>Gesamt!D11</f>
        <v>0</v>
      </c>
      <c r="F8" s="60">
        <f>E8*1.1</f>
        <v>0</v>
      </c>
      <c r="G8" s="21"/>
      <c r="H8" s="2"/>
      <c r="I8" s="2"/>
      <c r="J8" s="146">
        <f>Gesamt!BE11</f>
        <v>0</v>
      </c>
      <c r="K8" s="2">
        <f>Gesamt!BF11</f>
        <v>0</v>
      </c>
      <c r="L8" s="60">
        <f>Gesamt!BG11</f>
        <v>0</v>
      </c>
      <c r="M8" s="2">
        <f>Gesamt!BD11</f>
        <v>0</v>
      </c>
    </row>
    <row r="9" spans="1:13" s="82" customFormat="1" ht="25" customHeight="1" x14ac:dyDescent="0.35">
      <c r="A9" s="289" t="s">
        <v>5</v>
      </c>
      <c r="B9" s="286">
        <f>Gesamt!B12</f>
        <v>0</v>
      </c>
      <c r="C9" s="273">
        <f>Gesamt!C12</f>
        <v>0</v>
      </c>
      <c r="D9" s="81">
        <f>B9*1.1</f>
        <v>0</v>
      </c>
      <c r="E9" s="273">
        <f>Gesamt!D12</f>
        <v>0</v>
      </c>
      <c r="F9" s="81">
        <f>E9*1.1</f>
        <v>0</v>
      </c>
      <c r="G9" s="279"/>
      <c r="H9" s="80"/>
      <c r="I9" s="80"/>
      <c r="J9" s="147">
        <f>Gesamt!BE12</f>
        <v>0</v>
      </c>
      <c r="K9" s="80">
        <f>Gesamt!BF12</f>
        <v>0</v>
      </c>
      <c r="L9" s="81">
        <f>Gesamt!BG12</f>
        <v>0</v>
      </c>
      <c r="M9" s="80">
        <f>Gesamt!BD12</f>
        <v>0</v>
      </c>
    </row>
    <row r="10" spans="1:13" s="4" customFormat="1" ht="25" customHeight="1" x14ac:dyDescent="0.35">
      <c r="A10" s="17" t="s">
        <v>32</v>
      </c>
      <c r="B10" s="287">
        <f>Gesamt!B13</f>
        <v>0</v>
      </c>
      <c r="C10" s="274">
        <f>Gesamt!C13</f>
        <v>0</v>
      </c>
      <c r="D10" s="60">
        <f>B10*1.1</f>
        <v>0</v>
      </c>
      <c r="E10" s="274">
        <f>Gesamt!D13</f>
        <v>0</v>
      </c>
      <c r="F10" s="60">
        <f>E10*1.1</f>
        <v>0</v>
      </c>
      <c r="G10" s="21"/>
      <c r="H10" s="2"/>
      <c r="I10" s="2"/>
      <c r="J10" s="146">
        <f>Gesamt!BE13</f>
        <v>0</v>
      </c>
      <c r="K10" s="71">
        <f>Gesamt!BF13</f>
        <v>0</v>
      </c>
      <c r="L10" s="60">
        <f>Gesamt!BG13</f>
        <v>0</v>
      </c>
      <c r="M10" s="2">
        <f>Gesamt!BD13</f>
        <v>0</v>
      </c>
    </row>
    <row r="11" spans="1:13" s="82" customFormat="1" ht="25" customHeight="1" x14ac:dyDescent="0.35">
      <c r="A11" s="289" t="s">
        <v>154</v>
      </c>
      <c r="B11" s="286">
        <f>Gesamt!B14</f>
        <v>0</v>
      </c>
      <c r="C11" s="273">
        <f>Gesamt!C14</f>
        <v>0</v>
      </c>
      <c r="D11" s="81">
        <f>B11*1.1</f>
        <v>0</v>
      </c>
      <c r="E11" s="273">
        <f>Gesamt!D14</f>
        <v>0</v>
      </c>
      <c r="F11" s="81">
        <f>E11*1.1</f>
        <v>0</v>
      </c>
      <c r="G11" s="279"/>
      <c r="H11" s="80"/>
      <c r="I11" s="80"/>
      <c r="J11" s="147">
        <f>Gesamt!BE14</f>
        <v>0</v>
      </c>
      <c r="K11" s="80">
        <f>Gesamt!BF14</f>
        <v>0</v>
      </c>
      <c r="L11" s="81">
        <f>Gesamt!BG14</f>
        <v>0</v>
      </c>
      <c r="M11" s="80">
        <f>Gesamt!BD14</f>
        <v>0</v>
      </c>
    </row>
    <row r="12" spans="1:13" s="4" customFormat="1" ht="25" customHeight="1" thickBot="1" x14ac:dyDescent="0.4">
      <c r="A12" s="17" t="s">
        <v>6</v>
      </c>
      <c r="B12" s="287">
        <f>Gesamt!B15</f>
        <v>0</v>
      </c>
      <c r="C12" s="274">
        <f>Gesamt!C15</f>
        <v>0</v>
      </c>
      <c r="D12" s="60">
        <f t="shared" si="0"/>
        <v>0</v>
      </c>
      <c r="E12" s="274">
        <f>Gesamt!D15</f>
        <v>0</v>
      </c>
      <c r="F12" s="60">
        <f t="shared" si="1"/>
        <v>0</v>
      </c>
      <c r="G12" s="21"/>
      <c r="H12" s="2"/>
      <c r="I12" s="2"/>
      <c r="J12" s="146">
        <f>Gesamt!BE15</f>
        <v>0</v>
      </c>
      <c r="K12" s="71">
        <f>Gesamt!BF15</f>
        <v>0</v>
      </c>
      <c r="L12" s="60">
        <f>Gesamt!BG15</f>
        <v>0</v>
      </c>
      <c r="M12" s="2">
        <f>Gesamt!BD15</f>
        <v>0</v>
      </c>
    </row>
    <row r="13" spans="1:13" s="12" customFormat="1" ht="30" customHeight="1" thickBot="1" x14ac:dyDescent="0.4">
      <c r="A13" s="112" t="s">
        <v>14</v>
      </c>
      <c r="B13" s="288">
        <f>Gesamt!B5</f>
        <v>0</v>
      </c>
      <c r="C13" s="275">
        <f>Gesamt!C5</f>
        <v>0</v>
      </c>
      <c r="D13" s="74">
        <f>SUM(D3:D12)</f>
        <v>0</v>
      </c>
      <c r="E13" s="275">
        <f>Gesamt!D5</f>
        <v>0</v>
      </c>
      <c r="F13" s="74">
        <f>SUM(F3:F12)</f>
        <v>0</v>
      </c>
      <c r="G13" s="91"/>
      <c r="H13" s="22"/>
      <c r="I13" s="22"/>
      <c r="J13" s="148">
        <f>Gesamt!BE5</f>
        <v>0</v>
      </c>
      <c r="K13" s="22">
        <f>Gesamt!BF5</f>
        <v>0</v>
      </c>
      <c r="L13" s="74">
        <f>Gesamt!BG5</f>
        <v>0</v>
      </c>
      <c r="M13" s="22">
        <f>Gesamt!BD5</f>
        <v>0</v>
      </c>
    </row>
    <row r="14" spans="1:13" x14ac:dyDescent="0.35">
      <c r="A14" s="6"/>
      <c r="B14" s="268"/>
      <c r="C14" s="276"/>
      <c r="D14" s="114"/>
      <c r="E14" s="113"/>
      <c r="F14" s="6"/>
      <c r="G14" s="6"/>
      <c r="H14" s="6"/>
      <c r="I14" s="6"/>
      <c r="J14" s="6"/>
      <c r="K14" s="6"/>
      <c r="L14" s="6"/>
      <c r="M14" s="6"/>
    </row>
  </sheetData>
  <mergeCells count="1">
    <mergeCell ref="J1:L1"/>
  </mergeCells>
  <pageMargins left="0.7" right="0.7" top="0.78740157499999996" bottom="0.78740157499999996" header="0.3" footer="0.3"/>
  <pageSetup paperSize="9" scale="53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/>
  <dimension ref="A1:Q14"/>
  <sheetViews>
    <sheetView showZeros="0" view="pageBreakPreview" zoomScale="60" zoomScaleNormal="80" workbookViewId="0">
      <selection activeCell="C4" sqref="C4"/>
    </sheetView>
  </sheetViews>
  <sheetFormatPr baseColWidth="10" defaultRowHeight="14.5" x14ac:dyDescent="0.35"/>
  <cols>
    <col min="1" max="1" width="15.7265625" style="1" customWidth="1"/>
    <col min="2" max="9" width="5.7265625" style="1" customWidth="1"/>
    <col min="10" max="10" width="8.7265625" style="1" customWidth="1"/>
    <col min="11" max="11" width="7.81640625" style="1" customWidth="1"/>
    <col min="12" max="12" width="13.54296875" style="1" customWidth="1"/>
    <col min="13" max="13" width="8.7265625" style="1" customWidth="1"/>
    <col min="14" max="14" width="7.81640625" style="1" customWidth="1"/>
    <col min="15" max="15" width="13.26953125" style="1" customWidth="1"/>
    <col min="16" max="16" width="15" customWidth="1"/>
  </cols>
  <sheetData>
    <row r="1" spans="1:17" s="26" customFormat="1" ht="97.5" customHeight="1" x14ac:dyDescent="0.45">
      <c r="A1" s="55">
        <f>Gesamt!B1</f>
        <v>0</v>
      </c>
      <c r="B1" s="27" t="s">
        <v>78</v>
      </c>
      <c r="C1" s="27" t="s">
        <v>74</v>
      </c>
      <c r="D1" s="27" t="s">
        <v>164</v>
      </c>
      <c r="E1" s="27" t="s">
        <v>155</v>
      </c>
      <c r="F1" s="27" t="s">
        <v>161</v>
      </c>
      <c r="G1" s="27" t="s">
        <v>156</v>
      </c>
      <c r="H1" s="27" t="s">
        <v>35</v>
      </c>
      <c r="I1" s="27" t="s">
        <v>43</v>
      </c>
      <c r="J1" s="236"/>
      <c r="K1" s="237"/>
      <c r="L1" s="238"/>
      <c r="M1" s="239"/>
      <c r="N1" s="237"/>
      <c r="O1" s="238"/>
      <c r="P1" s="75"/>
    </row>
    <row r="2" spans="1:17" s="30" customFormat="1" ht="25" customHeight="1" x14ac:dyDescent="0.35">
      <c r="A2" s="76">
        <f>Gesamt!F1</f>
        <v>0</v>
      </c>
      <c r="B2" s="29"/>
      <c r="C2" s="29"/>
      <c r="D2" s="29"/>
      <c r="E2" s="29"/>
      <c r="F2" s="29"/>
      <c r="G2" s="29"/>
      <c r="H2" s="29"/>
      <c r="I2" s="29"/>
      <c r="J2" s="29"/>
      <c r="K2" s="86"/>
      <c r="L2" s="92"/>
      <c r="M2" s="89"/>
      <c r="N2" s="86"/>
      <c r="O2" s="92"/>
      <c r="P2" s="77"/>
    </row>
    <row r="3" spans="1:17" s="8" customFormat="1" ht="25" customHeight="1" x14ac:dyDescent="0.35">
      <c r="A3" s="7" t="s">
        <v>1</v>
      </c>
      <c r="B3" s="20">
        <f>Gesamt!O6</f>
        <v>0</v>
      </c>
      <c r="C3" s="20">
        <f>Gesamt!N6</f>
        <v>0</v>
      </c>
      <c r="D3" s="20">
        <f>Gesamt!I6</f>
        <v>0</v>
      </c>
      <c r="E3" s="20">
        <f>Gesamt!H6</f>
        <v>0</v>
      </c>
      <c r="F3" s="20">
        <f>Gesamt!K6</f>
        <v>0</v>
      </c>
      <c r="G3" s="20">
        <f>Gesamt!L6</f>
        <v>0</v>
      </c>
      <c r="H3" s="20">
        <f>Gesamt!P6</f>
        <v>0</v>
      </c>
      <c r="I3" s="20">
        <f>Gesamt!Q6</f>
        <v>0</v>
      </c>
      <c r="J3" s="20"/>
      <c r="K3" s="88" t="s">
        <v>18</v>
      </c>
      <c r="L3" s="18" t="s">
        <v>19</v>
      </c>
      <c r="M3" s="19"/>
      <c r="N3" s="88" t="s">
        <v>18</v>
      </c>
      <c r="O3" s="18" t="s">
        <v>19</v>
      </c>
      <c r="P3" s="94"/>
      <c r="Q3" s="16"/>
    </row>
    <row r="4" spans="1:17" s="4" customFormat="1" ht="25" customHeight="1" x14ac:dyDescent="0.35">
      <c r="A4" s="28" t="s">
        <v>2</v>
      </c>
      <c r="B4" s="83">
        <f>Gesamt!O7</f>
        <v>0</v>
      </c>
      <c r="C4" s="83">
        <f>Gesamt!N7</f>
        <v>0</v>
      </c>
      <c r="D4" s="83">
        <f>Gesamt!I7</f>
        <v>0</v>
      </c>
      <c r="E4" s="83">
        <f>Gesamt!H7</f>
        <v>0</v>
      </c>
      <c r="F4" s="83">
        <f>Gesamt!K7</f>
        <v>0</v>
      </c>
      <c r="G4" s="83">
        <f>Gesamt!L7</f>
        <v>0</v>
      </c>
      <c r="H4" s="83">
        <f>Gesamt!P7</f>
        <v>0</v>
      </c>
      <c r="I4" s="83">
        <f>Gesamt!Q7</f>
        <v>0</v>
      </c>
      <c r="J4" s="83"/>
      <c r="K4" s="87" t="s">
        <v>18</v>
      </c>
      <c r="L4" s="93" t="s">
        <v>19</v>
      </c>
      <c r="M4" s="90"/>
      <c r="N4" s="87" t="s">
        <v>18</v>
      </c>
      <c r="O4" s="93" t="s">
        <v>19</v>
      </c>
      <c r="P4" s="78"/>
    </row>
    <row r="5" spans="1:17" s="8" customFormat="1" ht="25" customHeight="1" x14ac:dyDescent="0.35">
      <c r="A5" s="7" t="s">
        <v>3</v>
      </c>
      <c r="B5" s="20">
        <f>Gesamt!O8</f>
        <v>0</v>
      </c>
      <c r="C5" s="20">
        <f>Gesamt!N8</f>
        <v>0</v>
      </c>
      <c r="D5" s="20">
        <f>Gesamt!I8</f>
        <v>0</v>
      </c>
      <c r="E5" s="20">
        <f>Gesamt!H8</f>
        <v>0</v>
      </c>
      <c r="F5" s="20">
        <f>Gesamt!K8</f>
        <v>0</v>
      </c>
      <c r="G5" s="20">
        <f>Gesamt!L8</f>
        <v>0</v>
      </c>
      <c r="H5" s="20">
        <f>Gesamt!P8</f>
        <v>0</v>
      </c>
      <c r="I5" s="20">
        <f>Gesamt!Q8</f>
        <v>0</v>
      </c>
      <c r="J5" s="20"/>
      <c r="K5" s="88" t="s">
        <v>18</v>
      </c>
      <c r="L5" s="18" t="s">
        <v>19</v>
      </c>
      <c r="M5" s="19"/>
      <c r="N5" s="88" t="s">
        <v>18</v>
      </c>
      <c r="O5" s="18" t="s">
        <v>19</v>
      </c>
      <c r="P5" s="94"/>
      <c r="Q5" s="16"/>
    </row>
    <row r="6" spans="1:17" s="4" customFormat="1" ht="25" customHeight="1" x14ac:dyDescent="0.35">
      <c r="A6" s="28" t="s">
        <v>4</v>
      </c>
      <c r="B6" s="83">
        <f>Gesamt!O9</f>
        <v>0</v>
      </c>
      <c r="C6" s="83">
        <f>Gesamt!N9</f>
        <v>0</v>
      </c>
      <c r="D6" s="83">
        <f>Gesamt!I9</f>
        <v>0</v>
      </c>
      <c r="E6" s="83">
        <f>Gesamt!H9</f>
        <v>0</v>
      </c>
      <c r="F6" s="83">
        <f>Gesamt!K9</f>
        <v>0</v>
      </c>
      <c r="G6" s="83">
        <f>Gesamt!L9</f>
        <v>0</v>
      </c>
      <c r="H6" s="83">
        <f>Gesamt!P9</f>
        <v>0</v>
      </c>
      <c r="I6" s="83">
        <f>Gesamt!Q9</f>
        <v>0</v>
      </c>
      <c r="J6" s="83"/>
      <c r="K6" s="87" t="s">
        <v>18</v>
      </c>
      <c r="L6" s="93" t="s">
        <v>19</v>
      </c>
      <c r="M6" s="90"/>
      <c r="N6" s="87" t="s">
        <v>18</v>
      </c>
      <c r="O6" s="93" t="s">
        <v>19</v>
      </c>
      <c r="P6" s="78"/>
    </row>
    <row r="7" spans="1:17" s="8" customFormat="1" ht="25" customHeight="1" x14ac:dyDescent="0.35">
      <c r="A7" s="7" t="s">
        <v>148</v>
      </c>
      <c r="B7" s="20">
        <f>Gesamt!O10</f>
        <v>0</v>
      </c>
      <c r="C7" s="20">
        <f>Gesamt!N10</f>
        <v>0</v>
      </c>
      <c r="D7" s="20">
        <f>Gesamt!I10</f>
        <v>0</v>
      </c>
      <c r="E7" s="20">
        <f>Gesamt!H10</f>
        <v>0</v>
      </c>
      <c r="F7" s="20">
        <f>Gesamt!K10</f>
        <v>0</v>
      </c>
      <c r="G7" s="20">
        <f>Gesamt!L10</f>
        <v>0</v>
      </c>
      <c r="H7" s="20">
        <f>Gesamt!P10</f>
        <v>0</v>
      </c>
      <c r="I7" s="20">
        <f>Gesamt!Q10</f>
        <v>0</v>
      </c>
      <c r="J7" s="20"/>
      <c r="K7" s="88" t="s">
        <v>18</v>
      </c>
      <c r="L7" s="18" t="s">
        <v>19</v>
      </c>
      <c r="M7" s="19"/>
      <c r="N7" s="88" t="s">
        <v>18</v>
      </c>
      <c r="O7" s="18" t="s">
        <v>19</v>
      </c>
      <c r="P7" s="94"/>
      <c r="Q7" s="16"/>
    </row>
    <row r="8" spans="1:17" s="4" customFormat="1" ht="25" customHeight="1" x14ac:dyDescent="0.35">
      <c r="A8" s="28" t="s">
        <v>7</v>
      </c>
      <c r="B8" s="83">
        <f>Gesamt!O11</f>
        <v>0</v>
      </c>
      <c r="C8" s="83">
        <f>Gesamt!N11</f>
        <v>0</v>
      </c>
      <c r="D8" s="83">
        <f>Gesamt!I11</f>
        <v>0</v>
      </c>
      <c r="E8" s="83">
        <f>Gesamt!H11</f>
        <v>0</v>
      </c>
      <c r="F8" s="83">
        <f>Gesamt!K11</f>
        <v>0</v>
      </c>
      <c r="G8" s="83">
        <f>Gesamt!L11</f>
        <v>0</v>
      </c>
      <c r="H8" s="83">
        <f>Gesamt!P11</f>
        <v>0</v>
      </c>
      <c r="I8" s="83">
        <f>Gesamt!Q11</f>
        <v>0</v>
      </c>
      <c r="J8" s="83"/>
      <c r="K8" s="87" t="s">
        <v>18</v>
      </c>
      <c r="L8" s="93" t="s">
        <v>19</v>
      </c>
      <c r="M8" s="90"/>
      <c r="N8" s="87" t="s">
        <v>18</v>
      </c>
      <c r="O8" s="93" t="s">
        <v>19</v>
      </c>
      <c r="P8" s="78"/>
    </row>
    <row r="9" spans="1:17" s="8" customFormat="1" ht="25" customHeight="1" x14ac:dyDescent="0.35">
      <c r="A9" s="7" t="s">
        <v>5</v>
      </c>
      <c r="B9" s="20">
        <f>Gesamt!O12</f>
        <v>0</v>
      </c>
      <c r="C9" s="20">
        <f>Gesamt!N12</f>
        <v>0</v>
      </c>
      <c r="D9" s="20">
        <f>Gesamt!I12</f>
        <v>0</v>
      </c>
      <c r="E9" s="20">
        <f>Gesamt!H12</f>
        <v>0</v>
      </c>
      <c r="F9" s="20">
        <f>Gesamt!K12</f>
        <v>0</v>
      </c>
      <c r="G9" s="20">
        <f>Gesamt!L12</f>
        <v>0</v>
      </c>
      <c r="H9" s="20">
        <f>Gesamt!P12</f>
        <v>0</v>
      </c>
      <c r="I9" s="20">
        <f>Gesamt!Q12</f>
        <v>0</v>
      </c>
      <c r="J9" s="20"/>
      <c r="K9" s="88" t="s">
        <v>18</v>
      </c>
      <c r="L9" s="18" t="s">
        <v>19</v>
      </c>
      <c r="M9" s="19"/>
      <c r="N9" s="88" t="s">
        <v>18</v>
      </c>
      <c r="O9" s="18" t="s">
        <v>19</v>
      </c>
      <c r="P9" s="94"/>
      <c r="Q9" s="16"/>
    </row>
    <row r="10" spans="1:17" s="4" customFormat="1" ht="25" customHeight="1" x14ac:dyDescent="0.35">
      <c r="A10" s="28" t="s">
        <v>32</v>
      </c>
      <c r="B10" s="83">
        <f>Gesamt!O13</f>
        <v>0</v>
      </c>
      <c r="C10" s="83">
        <f>Gesamt!N13</f>
        <v>0</v>
      </c>
      <c r="D10" s="83">
        <f>Gesamt!I13</f>
        <v>0</v>
      </c>
      <c r="E10" s="83">
        <f>Gesamt!H13</f>
        <v>0</v>
      </c>
      <c r="F10" s="83">
        <f>Gesamt!K13</f>
        <v>0</v>
      </c>
      <c r="G10" s="83">
        <f>Gesamt!L13</f>
        <v>0</v>
      </c>
      <c r="H10" s="83">
        <f>Gesamt!P13</f>
        <v>0</v>
      </c>
      <c r="I10" s="83">
        <f>Gesamt!Q13</f>
        <v>0</v>
      </c>
      <c r="J10" s="83"/>
      <c r="K10" s="87" t="s">
        <v>18</v>
      </c>
      <c r="L10" s="93" t="s">
        <v>19</v>
      </c>
      <c r="M10" s="90"/>
      <c r="N10" s="87" t="s">
        <v>18</v>
      </c>
      <c r="O10" s="93" t="s">
        <v>19</v>
      </c>
      <c r="P10" s="78"/>
    </row>
    <row r="11" spans="1:17" s="8" customFormat="1" ht="25" customHeight="1" x14ac:dyDescent="0.35">
      <c r="A11" s="7" t="s">
        <v>153</v>
      </c>
      <c r="B11" s="20">
        <f>Gesamt!O14</f>
        <v>0</v>
      </c>
      <c r="C11" s="20">
        <f>Gesamt!N14</f>
        <v>0</v>
      </c>
      <c r="D11" s="20">
        <f>Gesamt!I14</f>
        <v>0</v>
      </c>
      <c r="E11" s="20">
        <f>Gesamt!H14</f>
        <v>0</v>
      </c>
      <c r="F11" s="20">
        <f>Gesamt!K14</f>
        <v>0</v>
      </c>
      <c r="G11" s="20">
        <f>Gesamt!L14</f>
        <v>0</v>
      </c>
      <c r="H11" s="20">
        <f>Gesamt!P14</f>
        <v>0</v>
      </c>
      <c r="I11" s="20">
        <f>Gesamt!Q14</f>
        <v>0</v>
      </c>
      <c r="J11" s="20"/>
      <c r="K11" s="88" t="s">
        <v>18</v>
      </c>
      <c r="L11" s="18" t="s">
        <v>19</v>
      </c>
      <c r="M11" s="19"/>
      <c r="N11" s="88" t="s">
        <v>18</v>
      </c>
      <c r="O11" s="18" t="s">
        <v>19</v>
      </c>
      <c r="P11" s="94"/>
      <c r="Q11" s="16"/>
    </row>
    <row r="12" spans="1:17" s="3" customFormat="1" ht="25" customHeight="1" x14ac:dyDescent="0.35">
      <c r="A12" s="185" t="s">
        <v>6</v>
      </c>
      <c r="B12" s="186">
        <f>Gesamt!O15</f>
        <v>0</v>
      </c>
      <c r="C12" s="186">
        <f>Gesamt!N15</f>
        <v>0</v>
      </c>
      <c r="D12" s="186">
        <f>Gesamt!I15</f>
        <v>0</v>
      </c>
      <c r="E12" s="186">
        <f>Gesamt!H15</f>
        <v>0</v>
      </c>
      <c r="F12" s="186">
        <f>Gesamt!K15</f>
        <v>0</v>
      </c>
      <c r="G12" s="186">
        <f>Gesamt!L15</f>
        <v>0</v>
      </c>
      <c r="H12" s="186">
        <f>Gesamt!P15</f>
        <v>0</v>
      </c>
      <c r="I12" s="186">
        <f>Gesamt!Q15</f>
        <v>0</v>
      </c>
      <c r="J12" s="186"/>
      <c r="K12" s="187" t="s">
        <v>18</v>
      </c>
      <c r="L12" s="188" t="s">
        <v>19</v>
      </c>
      <c r="M12" s="189"/>
      <c r="N12" s="187" t="s">
        <v>18</v>
      </c>
      <c r="O12" s="188" t="s">
        <v>19</v>
      </c>
      <c r="P12" s="190"/>
      <c r="Q12" s="5"/>
    </row>
    <row r="13" spans="1:17" s="12" customFormat="1" ht="30" customHeight="1" x14ac:dyDescent="0.35">
      <c r="A13" s="96" t="s">
        <v>14</v>
      </c>
      <c r="B13" s="97">
        <f>Gesamt!O5</f>
        <v>0</v>
      </c>
      <c r="C13" s="97">
        <f>Gesamt!N5</f>
        <v>0</v>
      </c>
      <c r="D13" s="97">
        <f>Gesamt!I5</f>
        <v>0</v>
      </c>
      <c r="E13" s="97">
        <f>Gesamt!H5</f>
        <v>0</v>
      </c>
      <c r="F13" s="97">
        <f>Gesamt!K5</f>
        <v>0</v>
      </c>
      <c r="G13" s="97">
        <f>Gesamt!L5</f>
        <v>0</v>
      </c>
      <c r="H13" s="97">
        <f>Gesamt!P5</f>
        <v>0</v>
      </c>
      <c r="I13" s="97">
        <f>Gesamt!Q5</f>
        <v>0</v>
      </c>
      <c r="J13" s="97"/>
      <c r="K13" s="98"/>
      <c r="L13" s="95"/>
      <c r="M13" s="99"/>
      <c r="N13" s="98"/>
      <c r="O13" s="95"/>
      <c r="P13" s="95"/>
    </row>
    <row r="14" spans="1:17" x14ac:dyDescent="0.3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</sheetData>
  <mergeCells count="2">
    <mergeCell ref="J1:L1"/>
    <mergeCell ref="M1:O1"/>
  </mergeCells>
  <pageMargins left="0.7" right="0.7" top="0.78740157499999996" bottom="0.78740157499999996" header="0.3" footer="0.3"/>
  <pageSetup paperSize="9" scale="63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/>
  <dimension ref="A1:M26"/>
  <sheetViews>
    <sheetView showZeros="0" view="pageBreakPreview" zoomScale="70" zoomScaleNormal="60" zoomScaleSheetLayoutView="70" workbookViewId="0">
      <selection activeCell="D20" sqref="D20"/>
    </sheetView>
  </sheetViews>
  <sheetFormatPr baseColWidth="10" defaultRowHeight="14.5" x14ac:dyDescent="0.35"/>
  <cols>
    <col min="1" max="1" width="15.7265625" style="1" customWidth="1"/>
    <col min="2" max="2" width="6.7265625" style="1" customWidth="1"/>
    <col min="3" max="3" width="7.7265625" style="1" customWidth="1"/>
    <col min="4" max="4" width="15.81640625" style="1" customWidth="1"/>
    <col min="5" max="5" width="7.1796875" style="1" customWidth="1"/>
    <col min="6" max="6" width="7.81640625" style="1" customWidth="1"/>
    <col min="7" max="7" width="15.7265625" style="1" customWidth="1"/>
    <col min="8" max="8" width="9" style="1" customWidth="1"/>
    <col min="9" max="9" width="7.81640625" style="1" customWidth="1"/>
    <col min="10" max="10" width="15.81640625" style="1" customWidth="1"/>
    <col min="11" max="11" width="10.7265625" style="24" customWidth="1"/>
    <col min="12" max="12" width="11.7265625" style="24" customWidth="1"/>
    <col min="13" max="13" width="9.7265625" style="1" customWidth="1"/>
  </cols>
  <sheetData>
    <row r="1" spans="1:13" s="10" customFormat="1" ht="25" customHeight="1" x14ac:dyDescent="0.35">
      <c r="A1" s="56">
        <f>Gesamt!B1</f>
        <v>0</v>
      </c>
      <c r="B1" s="240" t="s">
        <v>20</v>
      </c>
      <c r="C1" s="240"/>
      <c r="D1" s="241"/>
      <c r="E1" s="242" t="s">
        <v>21</v>
      </c>
      <c r="F1" s="240"/>
      <c r="G1" s="241"/>
      <c r="H1" s="105"/>
      <c r="I1" s="9"/>
      <c r="J1" s="110"/>
      <c r="K1" s="105" t="s">
        <v>22</v>
      </c>
      <c r="L1" s="9" t="s">
        <v>23</v>
      </c>
      <c r="M1" s="9"/>
    </row>
    <row r="2" spans="1:13" s="15" customFormat="1" ht="25" customHeight="1" thickBot="1" x14ac:dyDescent="0.4">
      <c r="A2" s="111" t="s">
        <v>0</v>
      </c>
      <c r="B2" s="103" t="s">
        <v>17</v>
      </c>
      <c r="C2" s="13"/>
      <c r="D2" s="14"/>
      <c r="E2" s="106" t="s">
        <v>17</v>
      </c>
      <c r="F2" s="13"/>
      <c r="G2" s="14"/>
      <c r="H2" s="103"/>
      <c r="I2" s="13"/>
      <c r="J2" s="14"/>
      <c r="K2" s="103"/>
      <c r="L2" s="13"/>
      <c r="M2" s="13"/>
    </row>
    <row r="3" spans="1:13" s="8" customFormat="1" ht="25" customHeight="1" thickBot="1" x14ac:dyDescent="0.4">
      <c r="A3" s="126" t="s">
        <v>1</v>
      </c>
      <c r="B3" s="19">
        <f>Gesamt!E6</f>
        <v>0</v>
      </c>
      <c r="C3" s="8" t="s">
        <v>18</v>
      </c>
      <c r="D3" s="79" t="s">
        <v>19</v>
      </c>
      <c r="E3" s="85">
        <f>Gesamt!E6</f>
        <v>0</v>
      </c>
      <c r="F3" s="8" t="s">
        <v>18</v>
      </c>
      <c r="G3" s="79" t="s">
        <v>19</v>
      </c>
      <c r="H3" s="16"/>
      <c r="I3" s="8" t="s">
        <v>18</v>
      </c>
      <c r="J3" s="79" t="s">
        <v>19</v>
      </c>
      <c r="K3" s="19" t="s">
        <v>24</v>
      </c>
      <c r="L3" s="125"/>
      <c r="M3" s="16"/>
    </row>
    <row r="4" spans="1:13" s="4" customFormat="1" ht="25" customHeight="1" thickBot="1" x14ac:dyDescent="0.4">
      <c r="A4" s="118" t="s">
        <v>2</v>
      </c>
      <c r="B4" s="119">
        <f>Gesamt!E7</f>
        <v>0</v>
      </c>
      <c r="C4" s="120" t="s">
        <v>18</v>
      </c>
      <c r="D4" s="121" t="s">
        <v>19</v>
      </c>
      <c r="E4" s="122">
        <f>Gesamt!E7</f>
        <v>0</v>
      </c>
      <c r="F4" s="120" t="s">
        <v>18</v>
      </c>
      <c r="G4" s="121" t="s">
        <v>19</v>
      </c>
      <c r="H4" s="123"/>
      <c r="I4" s="120" t="s">
        <v>18</v>
      </c>
      <c r="J4" s="121" t="s">
        <v>19</v>
      </c>
      <c r="K4" s="119" t="s">
        <v>25</v>
      </c>
      <c r="L4" s="124" t="s">
        <v>25</v>
      </c>
      <c r="M4" s="3"/>
    </row>
    <row r="5" spans="1:13" s="8" customFormat="1" ht="25" customHeight="1" thickTop="1" thickBot="1" x14ac:dyDescent="0.4">
      <c r="A5" s="126" t="s">
        <v>3</v>
      </c>
      <c r="B5" s="19">
        <f>Gesamt!E8</f>
        <v>0</v>
      </c>
      <c r="C5" s="8" t="s">
        <v>18</v>
      </c>
      <c r="D5" s="79" t="s">
        <v>19</v>
      </c>
      <c r="E5" s="85">
        <f>Gesamt!E8</f>
        <v>0</v>
      </c>
      <c r="F5" s="8" t="s">
        <v>18</v>
      </c>
      <c r="G5" s="79" t="s">
        <v>19</v>
      </c>
      <c r="H5" s="16"/>
      <c r="I5" s="8" t="s">
        <v>18</v>
      </c>
      <c r="J5" s="79" t="s">
        <v>19</v>
      </c>
      <c r="K5" s="19"/>
      <c r="L5" s="125"/>
      <c r="M5" s="16"/>
    </row>
    <row r="6" spans="1:13" s="4" customFormat="1" ht="25" customHeight="1" thickBot="1" x14ac:dyDescent="0.4">
      <c r="A6" s="118" t="s">
        <v>4</v>
      </c>
      <c r="B6" s="119">
        <f>Gesamt!E9</f>
        <v>0</v>
      </c>
      <c r="C6" s="120" t="s">
        <v>18</v>
      </c>
      <c r="D6" s="121" t="s">
        <v>19</v>
      </c>
      <c r="E6" s="122">
        <f>Gesamt!E9</f>
        <v>0</v>
      </c>
      <c r="F6" s="120" t="s">
        <v>18</v>
      </c>
      <c r="G6" s="121" t="s">
        <v>19</v>
      </c>
      <c r="H6" s="123"/>
      <c r="I6" s="120" t="s">
        <v>18</v>
      </c>
      <c r="J6" s="121" t="s">
        <v>19</v>
      </c>
      <c r="K6" s="119" t="s">
        <v>72</v>
      </c>
      <c r="L6" s="124" t="s">
        <v>25</v>
      </c>
      <c r="M6" s="3"/>
    </row>
    <row r="7" spans="1:13" s="8" customFormat="1" ht="25" customHeight="1" thickTop="1" thickBot="1" x14ac:dyDescent="0.4">
      <c r="A7" s="126" t="s">
        <v>148</v>
      </c>
      <c r="B7" s="19">
        <f>Gesamt!E10</f>
        <v>0</v>
      </c>
      <c r="C7" s="8" t="s">
        <v>18</v>
      </c>
      <c r="D7" s="79" t="s">
        <v>19</v>
      </c>
      <c r="E7" s="85">
        <f>Gesamt!E10</f>
        <v>0</v>
      </c>
      <c r="F7" s="8" t="s">
        <v>18</v>
      </c>
      <c r="G7" s="79" t="s">
        <v>19</v>
      </c>
      <c r="H7" s="16"/>
      <c r="I7" s="8" t="s">
        <v>18</v>
      </c>
      <c r="J7" s="79" t="s">
        <v>19</v>
      </c>
      <c r="K7" s="19"/>
      <c r="L7" s="125"/>
      <c r="M7" s="16"/>
    </row>
    <row r="8" spans="1:13" s="4" customFormat="1" ht="25" customHeight="1" thickBot="1" x14ac:dyDescent="0.4">
      <c r="A8" s="118" t="s">
        <v>7</v>
      </c>
      <c r="B8" s="119">
        <f>Gesamt!E11</f>
        <v>0</v>
      </c>
      <c r="C8" s="120" t="s">
        <v>18</v>
      </c>
      <c r="D8" s="121" t="s">
        <v>19</v>
      </c>
      <c r="E8" s="122">
        <f>Gesamt!E11</f>
        <v>0</v>
      </c>
      <c r="F8" s="120" t="s">
        <v>18</v>
      </c>
      <c r="G8" s="121" t="s">
        <v>19</v>
      </c>
      <c r="H8" s="123"/>
      <c r="I8" s="120" t="s">
        <v>18</v>
      </c>
      <c r="J8" s="121" t="s">
        <v>19</v>
      </c>
      <c r="K8" s="119"/>
      <c r="L8" s="124"/>
      <c r="M8" s="3"/>
    </row>
    <row r="9" spans="1:13" s="8" customFormat="1" ht="25" customHeight="1" thickTop="1" thickBot="1" x14ac:dyDescent="0.4">
      <c r="A9" s="126" t="s">
        <v>5</v>
      </c>
      <c r="B9" s="19">
        <f>Gesamt!E12</f>
        <v>0</v>
      </c>
      <c r="C9" s="8" t="s">
        <v>18</v>
      </c>
      <c r="D9" s="79" t="s">
        <v>19</v>
      </c>
      <c r="E9" s="85">
        <f>Gesamt!E12</f>
        <v>0</v>
      </c>
      <c r="F9" s="8" t="s">
        <v>18</v>
      </c>
      <c r="G9" s="79" t="s">
        <v>19</v>
      </c>
      <c r="H9" s="16"/>
      <c r="I9" s="8" t="s">
        <v>18</v>
      </c>
      <c r="J9" s="79" t="s">
        <v>19</v>
      </c>
      <c r="K9" s="19" t="s">
        <v>44</v>
      </c>
      <c r="L9" s="125"/>
      <c r="M9" s="16"/>
    </row>
    <row r="10" spans="1:13" s="4" customFormat="1" ht="25" customHeight="1" thickBot="1" x14ac:dyDescent="0.4">
      <c r="A10" s="118" t="s">
        <v>32</v>
      </c>
      <c r="B10" s="119">
        <f>Gesamt!E13</f>
        <v>0</v>
      </c>
      <c r="C10" s="120" t="s">
        <v>18</v>
      </c>
      <c r="D10" s="121" t="s">
        <v>19</v>
      </c>
      <c r="E10" s="122">
        <f>Gesamt!E13</f>
        <v>0</v>
      </c>
      <c r="F10" s="120" t="s">
        <v>18</v>
      </c>
      <c r="G10" s="121" t="s">
        <v>19</v>
      </c>
      <c r="H10" s="123"/>
      <c r="I10" s="120" t="s">
        <v>18</v>
      </c>
      <c r="J10" s="121" t="s">
        <v>19</v>
      </c>
      <c r="K10" s="119"/>
      <c r="L10" s="124"/>
      <c r="M10" s="3"/>
    </row>
    <row r="11" spans="1:13" s="8" customFormat="1" ht="25" customHeight="1" thickTop="1" x14ac:dyDescent="0.35">
      <c r="A11" s="126" t="s">
        <v>153</v>
      </c>
      <c r="B11" s="19">
        <f>Gesamt!E14</f>
        <v>0</v>
      </c>
      <c r="C11" s="8" t="s">
        <v>18</v>
      </c>
      <c r="D11" s="79" t="s">
        <v>19</v>
      </c>
      <c r="E11" s="85">
        <f>Gesamt!E14</f>
        <v>0</v>
      </c>
      <c r="F11" s="8" t="s">
        <v>18</v>
      </c>
      <c r="G11" s="79" t="s">
        <v>19</v>
      </c>
      <c r="H11" s="16"/>
      <c r="I11" s="8" t="s">
        <v>18</v>
      </c>
      <c r="J11" s="79" t="s">
        <v>19</v>
      </c>
      <c r="K11" s="19"/>
      <c r="L11" s="125"/>
      <c r="M11" s="16"/>
    </row>
    <row r="12" spans="1:13" s="3" customFormat="1" ht="25" customHeight="1" thickBot="1" x14ac:dyDescent="0.4">
      <c r="A12" s="107" t="s">
        <v>6</v>
      </c>
      <c r="B12" s="21">
        <f>Gesamt!E15</f>
        <v>0</v>
      </c>
      <c r="C12" s="3" t="s">
        <v>18</v>
      </c>
      <c r="D12" s="107" t="s">
        <v>19</v>
      </c>
      <c r="E12" s="84">
        <f>Gesamt!E15</f>
        <v>0</v>
      </c>
      <c r="F12" s="3" t="s">
        <v>18</v>
      </c>
      <c r="G12" s="107" t="s">
        <v>19</v>
      </c>
      <c r="H12" s="5"/>
      <c r="I12" s="3" t="s">
        <v>18</v>
      </c>
      <c r="J12" s="107" t="s">
        <v>19</v>
      </c>
      <c r="K12" s="21"/>
      <c r="L12" s="2"/>
    </row>
    <row r="13" spans="1:13" s="12" customFormat="1" ht="30" customHeight="1" thickBot="1" x14ac:dyDescent="0.4">
      <c r="A13" s="112" t="s">
        <v>14</v>
      </c>
      <c r="B13" s="91">
        <f>Gesamt!E5</f>
        <v>0</v>
      </c>
      <c r="C13" s="11"/>
      <c r="D13" s="109"/>
      <c r="E13" s="108">
        <f>Gesamt!E5</f>
        <v>0</v>
      </c>
      <c r="F13" s="11"/>
      <c r="G13" s="109"/>
      <c r="H13" s="104"/>
      <c r="I13" s="11"/>
      <c r="J13" s="109"/>
      <c r="K13" s="91"/>
      <c r="L13" s="22"/>
      <c r="M13" s="11"/>
    </row>
    <row r="14" spans="1:13" x14ac:dyDescent="0.35">
      <c r="A14" s="6"/>
      <c r="B14" s="6"/>
      <c r="C14" s="6"/>
      <c r="D14" s="6"/>
      <c r="E14" s="6"/>
      <c r="F14" s="6"/>
      <c r="G14" s="114"/>
      <c r="H14" s="113"/>
      <c r="I14" s="6"/>
      <c r="J14" s="114"/>
      <c r="K14" s="115"/>
      <c r="L14" s="23"/>
      <c r="M14" s="6"/>
    </row>
    <row r="15" spans="1:13" x14ac:dyDescent="0.35">
      <c r="J15" s="117"/>
      <c r="K15" s="116"/>
    </row>
    <row r="16" spans="1:13" x14ac:dyDescent="0.35">
      <c r="J16" s="117"/>
      <c r="K16" s="116"/>
    </row>
    <row r="17" spans="10:11" x14ac:dyDescent="0.35">
      <c r="J17" s="117"/>
      <c r="K17" s="116"/>
    </row>
    <row r="18" spans="10:11" x14ac:dyDescent="0.35">
      <c r="J18" s="117"/>
      <c r="K18" s="116"/>
    </row>
    <row r="19" spans="10:11" x14ac:dyDescent="0.35">
      <c r="J19" s="117"/>
      <c r="K19" s="116"/>
    </row>
    <row r="20" spans="10:11" x14ac:dyDescent="0.35">
      <c r="J20" s="117"/>
      <c r="K20" s="116"/>
    </row>
    <row r="21" spans="10:11" x14ac:dyDescent="0.35">
      <c r="J21" s="117"/>
      <c r="K21" s="116"/>
    </row>
    <row r="22" spans="10:11" x14ac:dyDescent="0.35">
      <c r="J22" s="117"/>
      <c r="K22" s="116"/>
    </row>
    <row r="23" spans="10:11" x14ac:dyDescent="0.35">
      <c r="J23" s="117"/>
      <c r="K23" s="116"/>
    </row>
    <row r="24" spans="10:11" x14ac:dyDescent="0.35">
      <c r="J24" s="117"/>
      <c r="K24" s="116"/>
    </row>
    <row r="25" spans="10:11" x14ac:dyDescent="0.35">
      <c r="J25" s="117"/>
      <c r="K25" s="116"/>
    </row>
    <row r="26" spans="10:11" x14ac:dyDescent="0.35">
      <c r="J26" s="117"/>
      <c r="K26" s="116"/>
    </row>
  </sheetData>
  <mergeCells count="2">
    <mergeCell ref="B1:D1"/>
    <mergeCell ref="E1:G1"/>
  </mergeCells>
  <pageMargins left="0.7" right="0.7" top="0.78740157499999996" bottom="0.78740157499999996" header="0.3" footer="0.3"/>
  <pageSetup paperSize="9" scale="63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5"/>
  <dimension ref="A1:AL37"/>
  <sheetViews>
    <sheetView showZeros="0" view="pageBreakPreview" topLeftCell="A2" zoomScale="70" zoomScaleNormal="70" zoomScaleSheetLayoutView="70" workbookViewId="0">
      <selection activeCell="R17" sqref="R17"/>
    </sheetView>
  </sheetViews>
  <sheetFormatPr baseColWidth="10" defaultRowHeight="14.5" x14ac:dyDescent="0.35"/>
  <cols>
    <col min="1" max="1" width="18.453125" style="1" customWidth="1"/>
    <col min="2" max="20" width="5.7265625" style="1" customWidth="1"/>
    <col min="21" max="21" width="10.90625" style="127"/>
    <col min="22" max="22" width="18.08984375" style="1" customWidth="1"/>
    <col min="23" max="26" width="5.7265625" style="1" customWidth="1"/>
    <col min="27" max="27" width="3.36328125" style="1" customWidth="1"/>
    <col min="28" max="35" width="5.7265625" style="1" customWidth="1"/>
    <col min="36" max="36" width="13.7265625" style="127" customWidth="1"/>
    <col min="37" max="37" width="18.08984375" style="1" customWidth="1"/>
    <col min="38" max="38" width="10.90625" style="127"/>
  </cols>
  <sheetData>
    <row r="1" spans="1:38" s="31" customFormat="1" ht="19" thickBot="1" x14ac:dyDescent="0.5">
      <c r="A1" s="55">
        <f>Gesamt!B1</f>
        <v>0</v>
      </c>
      <c r="B1" s="249" t="s">
        <v>26</v>
      </c>
      <c r="C1" s="250"/>
      <c r="D1" s="250"/>
      <c r="E1" s="250"/>
      <c r="F1" s="250"/>
      <c r="G1" s="250"/>
      <c r="H1" s="251"/>
      <c r="I1" s="251"/>
      <c r="J1" s="251"/>
      <c r="K1" s="251"/>
      <c r="L1" s="251"/>
      <c r="M1" s="251"/>
      <c r="N1" s="250"/>
      <c r="O1" s="250"/>
      <c r="P1" s="250"/>
      <c r="Q1" s="250"/>
      <c r="R1" s="250"/>
      <c r="S1" s="250"/>
      <c r="T1" s="252"/>
      <c r="U1" s="167"/>
      <c r="V1" s="55">
        <f>Gesamt!B1</f>
        <v>0</v>
      </c>
      <c r="W1" s="246" t="s">
        <v>27</v>
      </c>
      <c r="X1" s="247"/>
      <c r="Y1" s="247"/>
      <c r="Z1" s="248"/>
      <c r="AA1" s="160"/>
      <c r="AB1" s="253" t="s">
        <v>28</v>
      </c>
      <c r="AC1" s="254"/>
      <c r="AD1" s="254"/>
      <c r="AE1" s="254"/>
      <c r="AF1" s="254"/>
      <c r="AG1" s="254"/>
      <c r="AH1" s="254"/>
      <c r="AI1" s="254"/>
      <c r="AJ1" s="163" t="s">
        <v>15</v>
      </c>
      <c r="AK1" s="172">
        <f>Gesamt!AR1</f>
        <v>0</v>
      </c>
      <c r="AL1" s="167"/>
    </row>
    <row r="2" spans="1:38" s="212" customFormat="1" ht="120" customHeight="1" x14ac:dyDescent="0.35">
      <c r="A2" s="209"/>
      <c r="B2" s="210" t="s">
        <v>81</v>
      </c>
      <c r="C2" s="211" t="s">
        <v>82</v>
      </c>
      <c r="D2" s="211" t="s">
        <v>83</v>
      </c>
      <c r="E2" s="211" t="s">
        <v>84</v>
      </c>
      <c r="F2" s="212" t="s">
        <v>142</v>
      </c>
      <c r="G2" s="213" t="s">
        <v>85</v>
      </c>
      <c r="H2" s="214" t="s">
        <v>86</v>
      </c>
      <c r="I2" s="215" t="s">
        <v>149</v>
      </c>
      <c r="J2" s="215" t="s">
        <v>87</v>
      </c>
      <c r="K2" s="215" t="s">
        <v>150</v>
      </c>
      <c r="L2" s="216" t="s">
        <v>143</v>
      </c>
      <c r="M2" s="217" t="s">
        <v>88</v>
      </c>
      <c r="N2" s="218" t="s">
        <v>89</v>
      </c>
      <c r="O2" s="219" t="s">
        <v>90</v>
      </c>
      <c r="P2" s="220" t="s">
        <v>91</v>
      </c>
      <c r="Q2" s="221" t="s">
        <v>92</v>
      </c>
      <c r="R2" s="222" t="s">
        <v>93</v>
      </c>
      <c r="S2" s="223" t="s">
        <v>94</v>
      </c>
      <c r="T2" s="224" t="s">
        <v>26</v>
      </c>
      <c r="U2" s="225"/>
      <c r="V2" s="209"/>
      <c r="W2" s="210" t="s">
        <v>102</v>
      </c>
      <c r="X2" s="226" t="s">
        <v>103</v>
      </c>
      <c r="Y2" s="227" t="s">
        <v>104</v>
      </c>
      <c r="Z2" s="228" t="s">
        <v>105</v>
      </c>
      <c r="AA2" s="229"/>
      <c r="AB2" s="210" t="s">
        <v>98</v>
      </c>
      <c r="AC2" s="211" t="s">
        <v>99</v>
      </c>
      <c r="AD2" s="211" t="s">
        <v>100</v>
      </c>
      <c r="AE2" s="230" t="s">
        <v>31</v>
      </c>
      <c r="AF2" s="227" t="s">
        <v>95</v>
      </c>
      <c r="AG2" s="231" t="s">
        <v>96</v>
      </c>
      <c r="AH2" s="231" t="s">
        <v>97</v>
      </c>
      <c r="AI2" s="232" t="s">
        <v>101</v>
      </c>
      <c r="AJ2" s="209" t="s">
        <v>15</v>
      </c>
      <c r="AK2" s="219"/>
      <c r="AL2" s="225"/>
    </row>
    <row r="3" spans="1:38" s="4" customFormat="1" ht="20" customHeight="1" x14ac:dyDescent="0.35">
      <c r="A3" s="151">
        <f>Gesamt!F1</f>
        <v>0</v>
      </c>
      <c r="B3" s="255" t="s">
        <v>79</v>
      </c>
      <c r="C3" s="256"/>
      <c r="D3" s="256"/>
      <c r="E3" s="256"/>
      <c r="F3" s="256"/>
      <c r="G3" s="257"/>
      <c r="H3" s="264" t="s">
        <v>80</v>
      </c>
      <c r="I3" s="265"/>
      <c r="J3" s="265"/>
      <c r="K3" s="265"/>
      <c r="L3" s="265"/>
      <c r="M3" s="266"/>
      <c r="N3" s="258" t="s">
        <v>79</v>
      </c>
      <c r="O3" s="256"/>
      <c r="P3" s="256"/>
      <c r="Q3" s="152"/>
      <c r="R3" s="152" t="s">
        <v>80</v>
      </c>
      <c r="S3" s="152"/>
      <c r="T3" s="17"/>
      <c r="U3" s="168"/>
      <c r="V3" s="151">
        <f>Gesamt!F1</f>
        <v>0</v>
      </c>
      <c r="W3" s="259" t="s">
        <v>30</v>
      </c>
      <c r="X3" s="260"/>
      <c r="Y3" s="244" t="s">
        <v>106</v>
      </c>
      <c r="Z3" s="245"/>
      <c r="AA3" s="159"/>
      <c r="AB3" s="261" t="s">
        <v>79</v>
      </c>
      <c r="AC3" s="262"/>
      <c r="AD3" s="263"/>
      <c r="AE3" s="156" t="s">
        <v>30</v>
      </c>
      <c r="AF3" s="243" t="s">
        <v>80</v>
      </c>
      <c r="AG3" s="244"/>
      <c r="AH3" s="244"/>
      <c r="AI3" s="245"/>
      <c r="AJ3" s="146" t="s">
        <v>17</v>
      </c>
      <c r="AK3" s="173">
        <f>Gesamt!AU1</f>
        <v>0</v>
      </c>
      <c r="AL3" s="168"/>
    </row>
    <row r="4" spans="1:38" s="145" customFormat="1" ht="30" customHeight="1" x14ac:dyDescent="0.35">
      <c r="A4" s="206" t="s">
        <v>14</v>
      </c>
      <c r="B4" s="141">
        <f t="shared" ref="B4:H4" si="0">SUM(B5:B15)</f>
        <v>0</v>
      </c>
      <c r="C4" s="142">
        <f t="shared" si="0"/>
        <v>0</v>
      </c>
      <c r="D4" s="142">
        <f t="shared" si="0"/>
        <v>0</v>
      </c>
      <c r="E4" s="142">
        <f t="shared" si="0"/>
        <v>0</v>
      </c>
      <c r="F4" s="142">
        <f t="shared" si="0"/>
        <v>0</v>
      </c>
      <c r="G4" s="144">
        <f t="shared" si="0"/>
        <v>0</v>
      </c>
      <c r="H4" s="179">
        <f t="shared" si="0"/>
        <v>0</v>
      </c>
      <c r="I4" s="142"/>
      <c r="J4" s="143">
        <f>SUM(J5:J15)</f>
        <v>0</v>
      </c>
      <c r="K4" s="143"/>
      <c r="L4" s="142">
        <f t="shared" ref="L4:T4" si="1">SUM(L5:L15)</f>
        <v>0</v>
      </c>
      <c r="M4" s="180">
        <f t="shared" si="1"/>
        <v>0</v>
      </c>
      <c r="N4" s="143">
        <f t="shared" si="1"/>
        <v>0</v>
      </c>
      <c r="O4" s="142">
        <f t="shared" si="1"/>
        <v>0</v>
      </c>
      <c r="P4" s="142">
        <f t="shared" si="1"/>
        <v>0</v>
      </c>
      <c r="Q4" s="142">
        <f t="shared" si="1"/>
        <v>0</v>
      </c>
      <c r="R4" s="142">
        <f t="shared" si="1"/>
        <v>0</v>
      </c>
      <c r="S4" s="144">
        <f t="shared" si="1"/>
        <v>0</v>
      </c>
      <c r="T4" s="144">
        <f t="shared" si="1"/>
        <v>0</v>
      </c>
      <c r="U4" s="169"/>
      <c r="V4" s="206" t="s">
        <v>14</v>
      </c>
      <c r="W4" s="142">
        <f>SUM(W5:W15)</f>
        <v>0</v>
      </c>
      <c r="X4" s="142">
        <f>SUM(X5:X15)</f>
        <v>0</v>
      </c>
      <c r="Y4" s="142">
        <f>SUM(Y5:Y15)</f>
        <v>0</v>
      </c>
      <c r="Z4" s="142">
        <f>SUM(Z5:Z15)</f>
        <v>0</v>
      </c>
      <c r="AA4" s="207"/>
      <c r="AB4" s="141">
        <f t="shared" ref="AB4:AI4" si="2">SUM(AB5:AB15)</f>
        <v>0</v>
      </c>
      <c r="AC4" s="142">
        <f t="shared" si="2"/>
        <v>0</v>
      </c>
      <c r="AD4" s="142">
        <f t="shared" si="2"/>
        <v>0</v>
      </c>
      <c r="AE4" s="142">
        <f t="shared" si="2"/>
        <v>0</v>
      </c>
      <c r="AF4" s="142">
        <f t="shared" si="2"/>
        <v>0</v>
      </c>
      <c r="AG4" s="142">
        <f t="shared" si="2"/>
        <v>0</v>
      </c>
      <c r="AH4" s="142">
        <f t="shared" si="2"/>
        <v>0</v>
      </c>
      <c r="AI4" s="142">
        <f t="shared" si="2"/>
        <v>0</v>
      </c>
      <c r="AJ4" s="164">
        <f>Gesamt!F5</f>
        <v>0</v>
      </c>
      <c r="AK4" s="208" t="s">
        <v>14</v>
      </c>
      <c r="AL4" s="169"/>
    </row>
    <row r="5" spans="1:38" s="32" customFormat="1" ht="25" customHeight="1" x14ac:dyDescent="0.45">
      <c r="A5" s="132" t="s">
        <v>1</v>
      </c>
      <c r="B5" s="137">
        <f>Gesamt!V6</f>
        <v>0</v>
      </c>
      <c r="C5" s="138">
        <f>Gesamt!X6</f>
        <v>0</v>
      </c>
      <c r="D5" s="138">
        <f>Gesamt!Z6</f>
        <v>0</v>
      </c>
      <c r="E5" s="138">
        <f>Gesamt!AB6</f>
        <v>0</v>
      </c>
      <c r="F5" s="138">
        <f>Gesamt!AD6</f>
        <v>0</v>
      </c>
      <c r="G5" s="150">
        <f>Gesamt!AF6</f>
        <v>0</v>
      </c>
      <c r="H5" s="183">
        <f>Gesamt!U6</f>
        <v>0</v>
      </c>
      <c r="I5" s="138">
        <f>Gesamt!W6</f>
        <v>0</v>
      </c>
      <c r="J5" s="140">
        <f>Gesamt!Y6</f>
        <v>0</v>
      </c>
      <c r="K5" s="140">
        <f>Gesamt!AA6</f>
        <v>0</v>
      </c>
      <c r="L5" s="138">
        <f>Gesamt!AC6</f>
        <v>0</v>
      </c>
      <c r="M5" s="184">
        <f>Gesamt!AE6</f>
        <v>0</v>
      </c>
      <c r="N5" s="140">
        <f>Gesamt!AH6</f>
        <v>0</v>
      </c>
      <c r="O5" s="138">
        <f>Gesamt!AJ6</f>
        <v>0</v>
      </c>
      <c r="P5" s="150">
        <f>Gesamt!AL6</f>
        <v>0</v>
      </c>
      <c r="Q5" s="155">
        <f>Gesamt!AG6</f>
        <v>0</v>
      </c>
      <c r="R5" s="138">
        <f>Gesamt!AI6</f>
        <v>0</v>
      </c>
      <c r="S5" s="150">
        <f>Gesamt!AK6</f>
        <v>0</v>
      </c>
      <c r="T5" s="177">
        <f>Gesamt!R6</f>
        <v>0</v>
      </c>
      <c r="U5" s="281" t="s">
        <v>70</v>
      </c>
      <c r="V5" s="132" t="s">
        <v>1</v>
      </c>
      <c r="W5" s="137">
        <f>Gesamt!AN6</f>
        <v>0</v>
      </c>
      <c r="X5" s="140">
        <f>Gesamt!AP6</f>
        <v>0</v>
      </c>
      <c r="Y5" s="140">
        <f>Gesamt!AM6</f>
        <v>0</v>
      </c>
      <c r="Z5" s="162">
        <f>Gesamt!AO6</f>
        <v>0</v>
      </c>
      <c r="AA5" s="158"/>
      <c r="AB5" s="137">
        <f>Gesamt!AR6</f>
        <v>0</v>
      </c>
      <c r="AC5" s="138">
        <f>Gesamt!AT6</f>
        <v>0</v>
      </c>
      <c r="AD5" s="138">
        <f>Gesamt!AV6</f>
        <v>0</v>
      </c>
      <c r="AE5" s="138">
        <f>Gesamt!AX6</f>
        <v>0</v>
      </c>
      <c r="AF5" s="138">
        <f>Gesamt!AQ6</f>
        <v>0</v>
      </c>
      <c r="AG5" s="138">
        <f>Gesamt!AS6</f>
        <v>0</v>
      </c>
      <c r="AH5" s="138">
        <f>Gesamt!AU6</f>
        <v>0</v>
      </c>
      <c r="AI5" s="139">
        <f>Gesamt!AW6</f>
        <v>0</v>
      </c>
      <c r="AJ5" s="166">
        <f>Gesamt!F6</f>
        <v>0</v>
      </c>
      <c r="AK5" s="175" t="s">
        <v>1</v>
      </c>
      <c r="AL5" s="171"/>
    </row>
    <row r="6" spans="1:38" ht="25" customHeight="1" x14ac:dyDescent="0.45">
      <c r="A6" s="131" t="s">
        <v>2</v>
      </c>
      <c r="B6" s="133">
        <f>Gesamt!V7</f>
        <v>0</v>
      </c>
      <c r="C6" s="134">
        <f>Gesamt!X7</f>
        <v>0</v>
      </c>
      <c r="D6" s="134">
        <f>Gesamt!Z7</f>
        <v>0</v>
      </c>
      <c r="E6" s="134">
        <f>Gesamt!AB7</f>
        <v>0</v>
      </c>
      <c r="F6" s="134">
        <f>Gesamt!AD7</f>
        <v>0</v>
      </c>
      <c r="G6" s="149">
        <f>Gesamt!AF7</f>
        <v>0</v>
      </c>
      <c r="H6" s="181">
        <f>Gesamt!U7</f>
        <v>0</v>
      </c>
      <c r="I6" s="134">
        <f>Gesamt!W7</f>
        <v>0</v>
      </c>
      <c r="J6" s="136">
        <f>Gesamt!Y7</f>
        <v>0</v>
      </c>
      <c r="K6" s="136">
        <f>Gesamt!AA7</f>
        <v>0</v>
      </c>
      <c r="L6" s="134">
        <f>Gesamt!AC7</f>
        <v>0</v>
      </c>
      <c r="M6" s="182">
        <f>Gesamt!AE7</f>
        <v>0</v>
      </c>
      <c r="N6" s="136">
        <f>Gesamt!AH7</f>
        <v>0</v>
      </c>
      <c r="O6" s="134">
        <f>Gesamt!AJ7</f>
        <v>0</v>
      </c>
      <c r="P6" s="149">
        <f>Gesamt!AL7</f>
        <v>0</v>
      </c>
      <c r="Q6" s="154">
        <f>Gesamt!AG7</f>
        <v>0</v>
      </c>
      <c r="R6" s="134">
        <f>Gesamt!AI7</f>
        <v>0</v>
      </c>
      <c r="S6" s="149">
        <f>Gesamt!AK7</f>
        <v>0</v>
      </c>
      <c r="T6" s="176">
        <f>Gesamt!R7</f>
        <v>0</v>
      </c>
      <c r="U6" s="282" t="s">
        <v>69</v>
      </c>
      <c r="V6" s="131" t="s">
        <v>2</v>
      </c>
      <c r="W6" s="133">
        <f>Gesamt!AN7</f>
        <v>0</v>
      </c>
      <c r="X6" s="136">
        <f>Gesamt!AP7</f>
        <v>0</v>
      </c>
      <c r="Y6" s="136">
        <f>Gesamt!AM7</f>
        <v>0</v>
      </c>
      <c r="Z6" s="161">
        <f>Gesamt!AO7</f>
        <v>0</v>
      </c>
      <c r="AA6" s="157"/>
      <c r="AB6" s="133">
        <f>Gesamt!AR7</f>
        <v>0</v>
      </c>
      <c r="AC6" s="134">
        <f>Gesamt!AT7</f>
        <v>0</v>
      </c>
      <c r="AD6" s="134">
        <f>Gesamt!AV7</f>
        <v>0</v>
      </c>
      <c r="AE6" s="134">
        <f>Gesamt!AX7</f>
        <v>0</v>
      </c>
      <c r="AF6" s="134">
        <f>Gesamt!AQ7</f>
        <v>0</v>
      </c>
      <c r="AG6" s="134">
        <f>Gesamt!AS7</f>
        <v>0</v>
      </c>
      <c r="AH6" s="134">
        <f>Gesamt!AU7</f>
        <v>0</v>
      </c>
      <c r="AI6" s="135">
        <f>Gesamt!AW7</f>
        <v>0</v>
      </c>
      <c r="AJ6" s="165">
        <f>Gesamt!F7</f>
        <v>0</v>
      </c>
      <c r="AK6" s="174" t="s">
        <v>2</v>
      </c>
      <c r="AL6" s="170"/>
    </row>
    <row r="7" spans="1:38" s="32" customFormat="1" ht="25" customHeight="1" x14ac:dyDescent="0.45">
      <c r="A7" s="132" t="s">
        <v>3</v>
      </c>
      <c r="B7" s="137">
        <f>Gesamt!V8</f>
        <v>0</v>
      </c>
      <c r="C7" s="138">
        <f>Gesamt!X8</f>
        <v>0</v>
      </c>
      <c r="D7" s="138">
        <f>Gesamt!Z8</f>
        <v>0</v>
      </c>
      <c r="E7" s="138">
        <f>Gesamt!AB8</f>
        <v>0</v>
      </c>
      <c r="F7" s="138">
        <f>Gesamt!AD8</f>
        <v>0</v>
      </c>
      <c r="G7" s="150">
        <f>Gesamt!AF8</f>
        <v>0</v>
      </c>
      <c r="H7" s="183">
        <f>Gesamt!U8</f>
        <v>0</v>
      </c>
      <c r="I7" s="138">
        <f>Gesamt!W8</f>
        <v>0</v>
      </c>
      <c r="J7" s="140">
        <f>Gesamt!Y8</f>
        <v>0</v>
      </c>
      <c r="K7" s="140">
        <f>Gesamt!AA8</f>
        <v>0</v>
      </c>
      <c r="L7" s="138">
        <f>Gesamt!AC8</f>
        <v>0</v>
      </c>
      <c r="M7" s="184">
        <f>Gesamt!AE8</f>
        <v>0</v>
      </c>
      <c r="N7" s="140">
        <f>Gesamt!AH8</f>
        <v>0</v>
      </c>
      <c r="O7" s="138">
        <f>Gesamt!AL8</f>
        <v>0</v>
      </c>
      <c r="P7" s="150">
        <f>Gesamt!AL8</f>
        <v>0</v>
      </c>
      <c r="Q7" s="155">
        <f>Gesamt!AG8</f>
        <v>0</v>
      </c>
      <c r="R7" s="138">
        <f>Gesamt!AI8</f>
        <v>0</v>
      </c>
      <c r="S7" s="150">
        <f>Gesamt!AK8</f>
        <v>0</v>
      </c>
      <c r="T7" s="177">
        <f>Gesamt!R8</f>
        <v>0</v>
      </c>
      <c r="U7" s="281" t="s">
        <v>40</v>
      </c>
      <c r="V7" s="132" t="s">
        <v>3</v>
      </c>
      <c r="W7" s="137">
        <f>Gesamt!AN8</f>
        <v>0</v>
      </c>
      <c r="X7" s="140">
        <f>Gesamt!AP8</f>
        <v>0</v>
      </c>
      <c r="Y7" s="140">
        <f>Gesamt!AM8</f>
        <v>0</v>
      </c>
      <c r="Z7" s="162">
        <f>Gesamt!AO8</f>
        <v>0</v>
      </c>
      <c r="AA7" s="158"/>
      <c r="AB7" s="137">
        <f>Gesamt!AR8</f>
        <v>0</v>
      </c>
      <c r="AC7" s="138">
        <f>Gesamt!AT8</f>
        <v>0</v>
      </c>
      <c r="AD7" s="138">
        <f>Gesamt!AV8</f>
        <v>0</v>
      </c>
      <c r="AE7" s="138">
        <f>Gesamt!AX8</f>
        <v>0</v>
      </c>
      <c r="AF7" s="138">
        <f>Gesamt!AQ8</f>
        <v>0</v>
      </c>
      <c r="AG7" s="138">
        <f>Gesamt!AS8</f>
        <v>0</v>
      </c>
      <c r="AH7" s="138">
        <f>Gesamt!AU8</f>
        <v>0</v>
      </c>
      <c r="AI7" s="139">
        <f>Gesamt!AW8</f>
        <v>0</v>
      </c>
      <c r="AJ7" s="166">
        <f>Gesamt!F8</f>
        <v>0</v>
      </c>
      <c r="AK7" s="175" t="s">
        <v>3</v>
      </c>
      <c r="AL7" s="171"/>
    </row>
    <row r="8" spans="1:38" ht="25" customHeight="1" x14ac:dyDescent="0.45">
      <c r="A8" s="131" t="s">
        <v>4</v>
      </c>
      <c r="B8" s="133">
        <f>Gesamt!V9</f>
        <v>0</v>
      </c>
      <c r="C8" s="134">
        <f>Gesamt!X9</f>
        <v>0</v>
      </c>
      <c r="D8" s="134">
        <f>Gesamt!Z9</f>
        <v>0</v>
      </c>
      <c r="E8" s="134">
        <f>Gesamt!AB9</f>
        <v>0</v>
      </c>
      <c r="F8" s="134">
        <f>Gesamt!AD9</f>
        <v>0</v>
      </c>
      <c r="G8" s="149">
        <f>Gesamt!AF9</f>
        <v>0</v>
      </c>
      <c r="H8" s="181">
        <f>Gesamt!U9</f>
        <v>0</v>
      </c>
      <c r="I8" s="134">
        <f>Gesamt!W9</f>
        <v>0</v>
      </c>
      <c r="J8" s="136">
        <f>Gesamt!Y9</f>
        <v>0</v>
      </c>
      <c r="K8" s="136">
        <f>Gesamt!AA9</f>
        <v>0</v>
      </c>
      <c r="L8" s="134">
        <f>Gesamt!AC9</f>
        <v>0</v>
      </c>
      <c r="M8" s="182">
        <f>Gesamt!AE9</f>
        <v>0</v>
      </c>
      <c r="N8" s="136">
        <f>Gesamt!AH9</f>
        <v>0</v>
      </c>
      <c r="O8" s="134">
        <f>Gesamt!AL9</f>
        <v>0</v>
      </c>
      <c r="P8" s="149">
        <f>Gesamt!AL9</f>
        <v>0</v>
      </c>
      <c r="Q8" s="154">
        <f>Gesamt!AG9</f>
        <v>0</v>
      </c>
      <c r="R8" s="134">
        <f>Gesamt!AI9</f>
        <v>0</v>
      </c>
      <c r="S8" s="149">
        <f>Gesamt!AK9</f>
        <v>0</v>
      </c>
      <c r="T8" s="176">
        <f>Gesamt!R9</f>
        <v>0</v>
      </c>
      <c r="U8" s="282" t="s">
        <v>41</v>
      </c>
      <c r="V8" s="131" t="s">
        <v>4</v>
      </c>
      <c r="W8" s="133">
        <f>Gesamt!AN9</f>
        <v>0</v>
      </c>
      <c r="X8" s="136">
        <f>Gesamt!AP9</f>
        <v>0</v>
      </c>
      <c r="Y8" s="136">
        <f>Gesamt!AM9</f>
        <v>0</v>
      </c>
      <c r="Z8" s="161">
        <f>Gesamt!AO9</f>
        <v>0</v>
      </c>
      <c r="AA8" s="157"/>
      <c r="AB8" s="133">
        <f>Gesamt!AR9</f>
        <v>0</v>
      </c>
      <c r="AC8" s="134">
        <f>Gesamt!AT9</f>
        <v>0</v>
      </c>
      <c r="AD8" s="134">
        <f>Gesamt!AV9</f>
        <v>0</v>
      </c>
      <c r="AE8" s="134">
        <f>Gesamt!AX9</f>
        <v>0</v>
      </c>
      <c r="AF8" s="134">
        <f>Gesamt!AQ9</f>
        <v>0</v>
      </c>
      <c r="AG8" s="134">
        <f>Gesamt!AS9</f>
        <v>0</v>
      </c>
      <c r="AH8" s="134">
        <f>Gesamt!AU9</f>
        <v>0</v>
      </c>
      <c r="AI8" s="135">
        <f>Gesamt!AW9</f>
        <v>0</v>
      </c>
      <c r="AJ8" s="165">
        <f>Gesamt!F9</f>
        <v>0</v>
      </c>
      <c r="AK8" s="174" t="s">
        <v>4</v>
      </c>
      <c r="AL8" s="170"/>
    </row>
    <row r="9" spans="1:38" s="32" customFormat="1" ht="25" customHeight="1" x14ac:dyDescent="0.45">
      <c r="A9" s="132" t="s">
        <v>148</v>
      </c>
      <c r="B9" s="137">
        <f>Gesamt!V10</f>
        <v>0</v>
      </c>
      <c r="C9" s="138">
        <f>Gesamt!X10</f>
        <v>0</v>
      </c>
      <c r="D9" s="138">
        <f>Gesamt!Z10</f>
        <v>0</v>
      </c>
      <c r="E9" s="138">
        <f>Gesamt!AB10</f>
        <v>0</v>
      </c>
      <c r="F9" s="138">
        <f>Gesamt!AD10</f>
        <v>0</v>
      </c>
      <c r="G9" s="150">
        <f>Gesamt!AF10</f>
        <v>0</v>
      </c>
      <c r="H9" s="183">
        <f>Gesamt!U10</f>
        <v>0</v>
      </c>
      <c r="I9" s="138">
        <f>Gesamt!W10</f>
        <v>0</v>
      </c>
      <c r="J9" s="140">
        <f>Gesamt!Y10</f>
        <v>0</v>
      </c>
      <c r="K9" s="140">
        <f>Gesamt!AA10</f>
        <v>0</v>
      </c>
      <c r="L9" s="138">
        <f>Gesamt!AC10</f>
        <v>0</v>
      </c>
      <c r="M9" s="184">
        <f>Gesamt!AE10</f>
        <v>0</v>
      </c>
      <c r="N9" s="140">
        <f>Gesamt!AH10</f>
        <v>0</v>
      </c>
      <c r="O9" s="138">
        <f>Gesamt!AJ10</f>
        <v>0</v>
      </c>
      <c r="P9" s="150">
        <f>Gesamt!AL10</f>
        <v>0</v>
      </c>
      <c r="Q9" s="155">
        <f>Gesamt!AG10</f>
        <v>0</v>
      </c>
      <c r="R9" s="138">
        <f>Gesamt!AI10</f>
        <v>0</v>
      </c>
      <c r="S9" s="150">
        <f>Gesamt!AK10</f>
        <v>0</v>
      </c>
      <c r="T9" s="177">
        <f>Gesamt!R10</f>
        <v>0</v>
      </c>
      <c r="U9" s="281" t="s">
        <v>152</v>
      </c>
      <c r="V9" s="132" t="s">
        <v>151</v>
      </c>
      <c r="W9" s="137">
        <f>Gesamt!AN10</f>
        <v>0</v>
      </c>
      <c r="X9" s="140">
        <f>Gesamt!AP10</f>
        <v>0</v>
      </c>
      <c r="Y9" s="140">
        <f>Gesamt!AM10</f>
        <v>0</v>
      </c>
      <c r="Z9" s="162">
        <f>Gesamt!AO10</f>
        <v>0</v>
      </c>
      <c r="AA9" s="158"/>
      <c r="AB9" s="137">
        <f>Gesamt!AR10</f>
        <v>0</v>
      </c>
      <c r="AC9" s="138">
        <f>Gesamt!AT10</f>
        <v>0</v>
      </c>
      <c r="AD9" s="138">
        <f>Gesamt!AV10</f>
        <v>0</v>
      </c>
      <c r="AE9" s="138">
        <f>Gesamt!AX10</f>
        <v>0</v>
      </c>
      <c r="AF9" s="138">
        <f>Gesamt!AQ10</f>
        <v>0</v>
      </c>
      <c r="AG9" s="138">
        <f>Gesamt!AS10</f>
        <v>0</v>
      </c>
      <c r="AH9" s="138">
        <f>Gesamt!AU10</f>
        <v>0</v>
      </c>
      <c r="AI9" s="139">
        <f>Gesamt!AW10</f>
        <v>0</v>
      </c>
      <c r="AJ9" s="166">
        <f>Gesamt!F10</f>
        <v>0</v>
      </c>
      <c r="AK9" s="175" t="s">
        <v>148</v>
      </c>
      <c r="AL9" s="171"/>
    </row>
    <row r="10" spans="1:38" ht="25" customHeight="1" x14ac:dyDescent="0.45">
      <c r="A10" s="131" t="s">
        <v>7</v>
      </c>
      <c r="B10" s="133">
        <f>Gesamt!V11</f>
        <v>0</v>
      </c>
      <c r="C10" s="134">
        <f>Gesamt!X11</f>
        <v>0</v>
      </c>
      <c r="D10" s="134">
        <f>Gesamt!Z11</f>
        <v>0</v>
      </c>
      <c r="E10" s="134">
        <f>Gesamt!AB11</f>
        <v>0</v>
      </c>
      <c r="F10" s="134">
        <f>Gesamt!AD11</f>
        <v>0</v>
      </c>
      <c r="G10" s="149">
        <f>Gesamt!AF11</f>
        <v>0</v>
      </c>
      <c r="H10" s="181">
        <f>Gesamt!U11</f>
        <v>0</v>
      </c>
      <c r="I10" s="134">
        <f>Gesamt!W11</f>
        <v>0</v>
      </c>
      <c r="J10" s="136">
        <f>Gesamt!Y11</f>
        <v>0</v>
      </c>
      <c r="K10" s="136">
        <f>Gesamt!AA11</f>
        <v>0</v>
      </c>
      <c r="L10" s="134">
        <f>Gesamt!AC11</f>
        <v>0</v>
      </c>
      <c r="M10" s="182">
        <f>Gesamt!AE11</f>
        <v>0</v>
      </c>
      <c r="N10" s="136">
        <f>Gesamt!AH11</f>
        <v>0</v>
      </c>
      <c r="O10" s="134">
        <f>Gesamt!AJ11</f>
        <v>0</v>
      </c>
      <c r="P10" s="149">
        <f>Gesamt!AL11</f>
        <v>0</v>
      </c>
      <c r="Q10" s="154">
        <f>Gesamt!AG11</f>
        <v>0</v>
      </c>
      <c r="R10" s="134">
        <f>Gesamt!AI11</f>
        <v>0</v>
      </c>
      <c r="S10" s="149">
        <f>Gesamt!AK11</f>
        <v>0</v>
      </c>
      <c r="T10" s="176">
        <f>Gesamt!R11</f>
        <v>0</v>
      </c>
      <c r="U10" s="282" t="s">
        <v>36</v>
      </c>
      <c r="V10" s="131" t="s">
        <v>7</v>
      </c>
      <c r="W10" s="133">
        <f>Gesamt!AN11</f>
        <v>0</v>
      </c>
      <c r="X10" s="136">
        <f>Gesamt!AP11</f>
        <v>0</v>
      </c>
      <c r="Y10" s="136">
        <f>Gesamt!AM11</f>
        <v>0</v>
      </c>
      <c r="Z10" s="161">
        <f>Gesamt!AO11</f>
        <v>0</v>
      </c>
      <c r="AA10" s="157"/>
      <c r="AB10" s="133">
        <f>Gesamt!AR11</f>
        <v>0</v>
      </c>
      <c r="AC10" s="134">
        <f>Gesamt!AT11</f>
        <v>0</v>
      </c>
      <c r="AD10" s="134">
        <f>Gesamt!AV11</f>
        <v>0</v>
      </c>
      <c r="AE10" s="134">
        <f>Gesamt!AX11</f>
        <v>0</v>
      </c>
      <c r="AF10" s="134">
        <f>Gesamt!AQ11</f>
        <v>0</v>
      </c>
      <c r="AG10" s="134">
        <f>Gesamt!AS11</f>
        <v>0</v>
      </c>
      <c r="AH10" s="134">
        <f>Gesamt!AU11</f>
        <v>0</v>
      </c>
      <c r="AI10" s="135">
        <f>Gesamt!AW11</f>
        <v>0</v>
      </c>
      <c r="AJ10" s="165">
        <f>Gesamt!F11</f>
        <v>0</v>
      </c>
      <c r="AK10" s="174" t="s">
        <v>7</v>
      </c>
      <c r="AL10" s="170"/>
    </row>
    <row r="11" spans="1:38" s="32" customFormat="1" ht="25" customHeight="1" x14ac:dyDescent="0.45">
      <c r="A11" s="132" t="s">
        <v>5</v>
      </c>
      <c r="B11" s="137">
        <f>Gesamt!V12</f>
        <v>0</v>
      </c>
      <c r="C11" s="138">
        <f>Gesamt!X12</f>
        <v>0</v>
      </c>
      <c r="D11" s="138">
        <f>Gesamt!Z12</f>
        <v>0</v>
      </c>
      <c r="E11" s="138">
        <f>Gesamt!AB12</f>
        <v>0</v>
      </c>
      <c r="F11" s="138">
        <f>Gesamt!AD12</f>
        <v>0</v>
      </c>
      <c r="G11" s="150">
        <f>Gesamt!AF12</f>
        <v>0</v>
      </c>
      <c r="H11" s="183">
        <f>Gesamt!U12</f>
        <v>0</v>
      </c>
      <c r="I11" s="138">
        <f>Gesamt!W12</f>
        <v>0</v>
      </c>
      <c r="J11" s="140">
        <f>Gesamt!Y12</f>
        <v>0</v>
      </c>
      <c r="K11" s="140">
        <f>Gesamt!AA12</f>
        <v>0</v>
      </c>
      <c r="L11" s="138">
        <f>Gesamt!AC12</f>
        <v>0</v>
      </c>
      <c r="M11" s="184">
        <f>Gesamt!AE12</f>
        <v>0</v>
      </c>
      <c r="N11" s="140">
        <f>Gesamt!AH12</f>
        <v>0</v>
      </c>
      <c r="O11" s="138">
        <f>Gesamt!AJ12</f>
        <v>0</v>
      </c>
      <c r="P11" s="150">
        <f>Gesamt!AL12</f>
        <v>0</v>
      </c>
      <c r="Q11" s="155">
        <f>Gesamt!AG12</f>
        <v>0</v>
      </c>
      <c r="R11" s="138">
        <f>Gesamt!AI12</f>
        <v>0</v>
      </c>
      <c r="S11" s="150">
        <f>Gesamt!AK12</f>
        <v>0</v>
      </c>
      <c r="T11" s="177">
        <f>Gesamt!R12</f>
        <v>0</v>
      </c>
      <c r="U11" s="281" t="s">
        <v>37</v>
      </c>
      <c r="V11" s="132" t="s">
        <v>5</v>
      </c>
      <c r="W11" s="137">
        <f>Gesamt!AN12</f>
        <v>0</v>
      </c>
      <c r="X11" s="140">
        <f>Gesamt!AP12</f>
        <v>0</v>
      </c>
      <c r="Y11" s="140">
        <f>Gesamt!AM12</f>
        <v>0</v>
      </c>
      <c r="Z11" s="162">
        <f>Gesamt!AO12</f>
        <v>0</v>
      </c>
      <c r="AA11" s="158"/>
      <c r="AB11" s="137">
        <f>Gesamt!AR12</f>
        <v>0</v>
      </c>
      <c r="AC11" s="138">
        <f>Gesamt!AT12</f>
        <v>0</v>
      </c>
      <c r="AD11" s="138">
        <f>Gesamt!AV12</f>
        <v>0</v>
      </c>
      <c r="AE11" s="138">
        <f>Gesamt!AX12</f>
        <v>0</v>
      </c>
      <c r="AF11" s="138">
        <f>Gesamt!AQ12</f>
        <v>0</v>
      </c>
      <c r="AG11" s="138">
        <f>Gesamt!AS12</f>
        <v>0</v>
      </c>
      <c r="AH11" s="138">
        <f>Gesamt!AU12</f>
        <v>0</v>
      </c>
      <c r="AI11" s="139">
        <f>Gesamt!AW12</f>
        <v>0</v>
      </c>
      <c r="AJ11" s="166">
        <f>Gesamt!F12</f>
        <v>0</v>
      </c>
      <c r="AK11" s="175" t="s">
        <v>5</v>
      </c>
      <c r="AL11" s="171"/>
    </row>
    <row r="12" spans="1:38" ht="25" customHeight="1" x14ac:dyDescent="0.45">
      <c r="A12" s="131" t="s">
        <v>32</v>
      </c>
      <c r="B12" s="133">
        <f>Gesamt!V13</f>
        <v>0</v>
      </c>
      <c r="C12" s="134">
        <f>Gesamt!X13</f>
        <v>0</v>
      </c>
      <c r="D12" s="134">
        <f>Gesamt!Z13</f>
        <v>0</v>
      </c>
      <c r="E12" s="134">
        <f>Gesamt!AB13</f>
        <v>0</v>
      </c>
      <c r="F12" s="134">
        <f>Gesamt!AD13</f>
        <v>0</v>
      </c>
      <c r="G12" s="149">
        <f>Gesamt!AF13</f>
        <v>0</v>
      </c>
      <c r="H12" s="181">
        <f>Gesamt!U13</f>
        <v>0</v>
      </c>
      <c r="I12" s="134">
        <f>Gesamt!W13</f>
        <v>0</v>
      </c>
      <c r="J12" s="136">
        <f>Gesamt!Y13</f>
        <v>0</v>
      </c>
      <c r="K12" s="136">
        <f>Gesamt!AA13</f>
        <v>0</v>
      </c>
      <c r="L12" s="134">
        <f>Gesamt!AC13</f>
        <v>0</v>
      </c>
      <c r="M12" s="182">
        <f>Gesamt!AE13</f>
        <v>0</v>
      </c>
      <c r="N12" s="136">
        <f>Gesamt!AH13</f>
        <v>0</v>
      </c>
      <c r="O12" s="134">
        <f>Gesamt!AJ13</f>
        <v>0</v>
      </c>
      <c r="P12" s="149">
        <f>Gesamt!AL13</f>
        <v>0</v>
      </c>
      <c r="Q12" s="154">
        <f>Gesamt!AG13</f>
        <v>0</v>
      </c>
      <c r="R12" s="134">
        <f>Gesamt!AI13</f>
        <v>0</v>
      </c>
      <c r="S12" s="149">
        <f>Gesamt!AK13</f>
        <v>0</v>
      </c>
      <c r="T12" s="176">
        <f>Gesamt!R13</f>
        <v>0</v>
      </c>
      <c r="U12" s="282" t="s">
        <v>39</v>
      </c>
      <c r="V12" s="131" t="s">
        <v>32</v>
      </c>
      <c r="W12" s="133">
        <f>Gesamt!AN13</f>
        <v>0</v>
      </c>
      <c r="X12" s="136">
        <f>Gesamt!AP13</f>
        <v>0</v>
      </c>
      <c r="Y12" s="136">
        <f>Gesamt!AM13</f>
        <v>0</v>
      </c>
      <c r="Z12" s="161">
        <f>Gesamt!AO13</f>
        <v>0</v>
      </c>
      <c r="AA12" s="157"/>
      <c r="AB12" s="133">
        <f>Gesamt!AR13</f>
        <v>0</v>
      </c>
      <c r="AC12" s="134">
        <f>Gesamt!AT13</f>
        <v>0</v>
      </c>
      <c r="AD12" s="134">
        <f>Gesamt!AV13</f>
        <v>0</v>
      </c>
      <c r="AE12" s="134">
        <f>Gesamt!AX13</f>
        <v>0</v>
      </c>
      <c r="AF12" s="134">
        <f>Gesamt!AQ13</f>
        <v>0</v>
      </c>
      <c r="AG12" s="134">
        <f>Gesamt!AS13</f>
        <v>0</v>
      </c>
      <c r="AH12" s="134">
        <f>Gesamt!AU13</f>
        <v>0</v>
      </c>
      <c r="AI12" s="135">
        <f>Gesamt!AW13</f>
        <v>0</v>
      </c>
      <c r="AJ12" s="165">
        <f>Gesamt!F13</f>
        <v>0</v>
      </c>
      <c r="AK12" s="174" t="s">
        <v>32</v>
      </c>
      <c r="AL12" s="170"/>
    </row>
    <row r="13" spans="1:38" s="32" customFormat="1" ht="25" customHeight="1" x14ac:dyDescent="0.45">
      <c r="A13" s="132" t="s">
        <v>153</v>
      </c>
      <c r="B13" s="137">
        <f>Gesamt!V14</f>
        <v>0</v>
      </c>
      <c r="C13" s="138">
        <f>Gesamt!X14</f>
        <v>0</v>
      </c>
      <c r="D13" s="138">
        <f>Gesamt!Z14</f>
        <v>0</v>
      </c>
      <c r="E13" s="138">
        <f>Gesamt!AB14</f>
        <v>0</v>
      </c>
      <c r="F13" s="138">
        <f>Gesamt!AD14</f>
        <v>0</v>
      </c>
      <c r="G13" s="150">
        <f>Gesamt!AF14</f>
        <v>0</v>
      </c>
      <c r="H13" s="183">
        <f>Gesamt!U14</f>
        <v>0</v>
      </c>
      <c r="I13" s="138">
        <f>Gesamt!W14</f>
        <v>0</v>
      </c>
      <c r="J13" s="178">
        <f>Gesamt!Y14</f>
        <v>0</v>
      </c>
      <c r="K13" s="138">
        <f>Gesamt!AA14</f>
        <v>0</v>
      </c>
      <c r="L13" s="150">
        <f>Gesamt!AC14</f>
        <v>0</v>
      </c>
      <c r="M13" s="184">
        <f>Gesamt!AE14</f>
        <v>0</v>
      </c>
      <c r="N13" s="140">
        <f>Gesamt!AH14</f>
        <v>0</v>
      </c>
      <c r="O13" s="138">
        <f>Gesamt!AJ14</f>
        <v>0</v>
      </c>
      <c r="P13" s="150">
        <f>Gesamt!AL14</f>
        <v>0</v>
      </c>
      <c r="Q13" s="155">
        <f>Gesamt!AG14</f>
        <v>0</v>
      </c>
      <c r="R13" s="138">
        <f>Gesamt!AI14</f>
        <v>0</v>
      </c>
      <c r="S13" s="150">
        <f>Gesamt!AK14</f>
        <v>0</v>
      </c>
      <c r="T13" s="177">
        <f>Gesamt!R14</f>
        <v>0</v>
      </c>
      <c r="U13" s="281" t="s">
        <v>162</v>
      </c>
      <c r="V13" s="132" t="s">
        <v>153</v>
      </c>
      <c r="W13" s="137">
        <f>Gesamt!AN14</f>
        <v>0</v>
      </c>
      <c r="X13" s="140">
        <f>Gesamt!AP14</f>
        <v>0</v>
      </c>
      <c r="Y13" s="140">
        <f>Gesamt!AM14</f>
        <v>0</v>
      </c>
      <c r="Z13" s="162">
        <f>Gesamt!AO14</f>
        <v>0</v>
      </c>
      <c r="AA13" s="158"/>
      <c r="AB13" s="137">
        <f>Gesamt!AR14</f>
        <v>0</v>
      </c>
      <c r="AC13" s="138">
        <f>Gesamt!AT14</f>
        <v>0</v>
      </c>
      <c r="AD13" s="138">
        <f>Gesamt!AV14</f>
        <v>0</v>
      </c>
      <c r="AE13" s="138">
        <f>Gesamt!AX14</f>
        <v>0</v>
      </c>
      <c r="AF13" s="138">
        <f>Gesamt!AQ14</f>
        <v>0</v>
      </c>
      <c r="AG13" s="138">
        <f>Gesamt!AS14</f>
        <v>0</v>
      </c>
      <c r="AH13" s="138">
        <f>Gesamt!AU14</f>
        <v>0</v>
      </c>
      <c r="AI13" s="139">
        <f>Gesamt!AW14</f>
        <v>0</v>
      </c>
      <c r="AJ13" s="166">
        <f>Gesamt!F14</f>
        <v>0</v>
      </c>
      <c r="AK13" s="175" t="s">
        <v>153</v>
      </c>
      <c r="AL13" s="171"/>
    </row>
    <row r="14" spans="1:38" ht="25" customHeight="1" x14ac:dyDescent="0.45">
      <c r="A14" s="191" t="s">
        <v>6</v>
      </c>
      <c r="B14" s="192">
        <f>Gesamt!V15</f>
        <v>0</v>
      </c>
      <c r="C14" s="193">
        <f>Gesamt!X15</f>
        <v>0</v>
      </c>
      <c r="D14" s="193">
        <f>Gesamt!Z15</f>
        <v>0</v>
      </c>
      <c r="E14" s="193">
        <f>Gesamt!AB15</f>
        <v>0</v>
      </c>
      <c r="F14" s="193">
        <f>Gesamt!AD15</f>
        <v>0</v>
      </c>
      <c r="G14" s="194">
        <f>Gesamt!AF15</f>
        <v>0</v>
      </c>
      <c r="H14" s="195">
        <f>Gesamt!U15</f>
        <v>0</v>
      </c>
      <c r="I14" s="193">
        <f>Gesamt!W15</f>
        <v>0</v>
      </c>
      <c r="J14" s="193">
        <f>Gesamt!Y15</f>
        <v>0</v>
      </c>
      <c r="K14" s="193">
        <f>Gesamt!AA15</f>
        <v>0</v>
      </c>
      <c r="L14" s="193">
        <f>Gesamt!AC15</f>
        <v>0</v>
      </c>
      <c r="M14" s="196">
        <f>Gesamt!AE15</f>
        <v>0</v>
      </c>
      <c r="N14" s="197">
        <f>Gesamt!AH15</f>
        <v>0</v>
      </c>
      <c r="O14" s="193">
        <f>Gesamt!AJ15</f>
        <v>0</v>
      </c>
      <c r="P14" s="194">
        <f>Gesamt!AL15</f>
        <v>0</v>
      </c>
      <c r="Q14" s="198">
        <f>Gesamt!AL15</f>
        <v>0</v>
      </c>
      <c r="R14" s="193">
        <f>Gesamt!AI15</f>
        <v>0</v>
      </c>
      <c r="S14" s="194">
        <f>Gesamt!AK15</f>
        <v>0</v>
      </c>
      <c r="T14" s="199">
        <f>Gesamt!R15</f>
        <v>0</v>
      </c>
      <c r="U14" s="283" t="s">
        <v>71</v>
      </c>
      <c r="V14" s="191" t="s">
        <v>6</v>
      </c>
      <c r="W14" s="192">
        <f>Gesamt!AN15</f>
        <v>0</v>
      </c>
      <c r="X14" s="197">
        <f>Gesamt!AP15</f>
        <v>0</v>
      </c>
      <c r="Y14" s="197">
        <f>Gesamt!AM15</f>
        <v>0</v>
      </c>
      <c r="Z14" s="201">
        <f>Gesamt!AO15</f>
        <v>0</v>
      </c>
      <c r="AA14" s="202"/>
      <c r="AB14" s="192">
        <f>Gesamt!AR15</f>
        <v>0</v>
      </c>
      <c r="AC14" s="193">
        <f>Gesamt!AT15</f>
        <v>0</v>
      </c>
      <c r="AD14" s="193">
        <f>Gesamt!AV15</f>
        <v>0</v>
      </c>
      <c r="AE14" s="193">
        <f>Gesamt!AX15</f>
        <v>0</v>
      </c>
      <c r="AF14" s="193">
        <f>Gesamt!AQ15</f>
        <v>0</v>
      </c>
      <c r="AG14" s="193">
        <f>Gesamt!AS15</f>
        <v>0</v>
      </c>
      <c r="AH14" s="193">
        <f>Gesamt!AU15</f>
        <v>0</v>
      </c>
      <c r="AI14" s="203">
        <f>Gesamt!AW15</f>
        <v>0</v>
      </c>
      <c r="AJ14" s="204">
        <f>Gesamt!F15</f>
        <v>0</v>
      </c>
      <c r="AK14" s="205" t="s">
        <v>6</v>
      </c>
      <c r="AL14" s="200"/>
    </row>
    <row r="15" spans="1:38" s="32" customFormat="1" ht="25" customHeight="1" x14ac:dyDescent="0.45">
      <c r="A15" s="132" t="s">
        <v>158</v>
      </c>
      <c r="B15" s="137">
        <f>Gesamt!V16</f>
        <v>0</v>
      </c>
      <c r="C15" s="138">
        <f>Gesamt!X16</f>
        <v>0</v>
      </c>
      <c r="D15" s="138">
        <f>Gesamt!Z16</f>
        <v>0</v>
      </c>
      <c r="E15" s="138">
        <f>Gesamt!AB16</f>
        <v>0</v>
      </c>
      <c r="F15" s="138">
        <f>Gesamt!AD16</f>
        <v>0</v>
      </c>
      <c r="G15" s="150">
        <f>Gesamt!AF16</f>
        <v>0</v>
      </c>
      <c r="H15" s="183">
        <f>Gesamt!U16</f>
        <v>0</v>
      </c>
      <c r="I15" s="138">
        <f>Gesamt!W16</f>
        <v>0</v>
      </c>
      <c r="J15" s="178">
        <f>Gesamt!Y16</f>
        <v>0</v>
      </c>
      <c r="K15" s="138">
        <f>Gesamt!AA16</f>
        <v>0</v>
      </c>
      <c r="L15" s="150">
        <f>Gesamt!AC16</f>
        <v>0</v>
      </c>
      <c r="M15" s="184">
        <f>Gesamt!AE16</f>
        <v>0</v>
      </c>
      <c r="N15" s="140">
        <f>Gesamt!AH16</f>
        <v>0</v>
      </c>
      <c r="O15" s="138">
        <f>Gesamt!AJ16</f>
        <v>0</v>
      </c>
      <c r="P15" s="150">
        <f>Gesamt!AL16</f>
        <v>0</v>
      </c>
      <c r="Q15" s="155">
        <f>Gesamt!AL16</f>
        <v>0</v>
      </c>
      <c r="R15" s="138">
        <f>Gesamt!AI16</f>
        <v>0</v>
      </c>
      <c r="S15" s="150">
        <f>Gesamt!AK16</f>
        <v>0</v>
      </c>
      <c r="T15" s="177">
        <f>Gesamt!R16</f>
        <v>0</v>
      </c>
      <c r="U15" s="281" t="s">
        <v>157</v>
      </c>
      <c r="V15" s="132" t="s">
        <v>158</v>
      </c>
      <c r="W15" s="137">
        <f>Gesamt!AN16</f>
        <v>0</v>
      </c>
      <c r="X15" s="140">
        <f>Gesamt!AP16</f>
        <v>0</v>
      </c>
      <c r="Y15" s="140">
        <f>Gesamt!AM16</f>
        <v>0</v>
      </c>
      <c r="Z15" s="162">
        <f>Gesamt!AO16</f>
        <v>0</v>
      </c>
      <c r="AA15" s="158"/>
      <c r="AB15" s="137">
        <f>Gesamt!AR16</f>
        <v>0</v>
      </c>
      <c r="AC15" s="138">
        <f>Gesamt!AT16</f>
        <v>0</v>
      </c>
      <c r="AD15" s="138">
        <f>Gesamt!AV16</f>
        <v>0</v>
      </c>
      <c r="AE15" s="138">
        <f>Gesamt!AX16</f>
        <v>0</v>
      </c>
      <c r="AF15" s="138">
        <f>Gesamt!AQ16</f>
        <v>0</v>
      </c>
      <c r="AG15" s="138">
        <f>Gesamt!AS16</f>
        <v>0</v>
      </c>
      <c r="AH15" s="138">
        <f>Gesamt!AU16</f>
        <v>0</v>
      </c>
      <c r="AI15" s="139">
        <f>Gesamt!AW16</f>
        <v>0</v>
      </c>
      <c r="AJ15" s="166">
        <f>Gesamt!F16</f>
        <v>0</v>
      </c>
      <c r="AK15" s="175" t="s">
        <v>158</v>
      </c>
      <c r="AL15" s="171"/>
    </row>
    <row r="16" spans="1:38" ht="18.5" x14ac:dyDescent="0.35">
      <c r="A16" s="4"/>
      <c r="B16" s="33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5"/>
      <c r="Q16"/>
      <c r="R16"/>
      <c r="S16"/>
      <c r="T16"/>
      <c r="U16" s="127" t="s">
        <v>14</v>
      </c>
      <c r="V16" s="35"/>
      <c r="W16" s="35"/>
      <c r="X16" s="35"/>
      <c r="Y16" s="35"/>
      <c r="Z16" s="35"/>
      <c r="AA16" s="35"/>
      <c r="AB16" s="35"/>
      <c r="AC16" s="35"/>
      <c r="AD16" s="35"/>
      <c r="AE16" s="33"/>
      <c r="AF16" s="34"/>
      <c r="AG16" s="34"/>
      <c r="AH16" s="35"/>
      <c r="AI16" s="35"/>
      <c r="AJ16" s="127">
        <f>SUM(AJ6:AJ15)</f>
        <v>0</v>
      </c>
      <c r="AK16" s="4"/>
    </row>
    <row r="19" spans="21:38" ht="17.5" x14ac:dyDescent="0.35">
      <c r="U19" s="128"/>
      <c r="AJ19" s="128"/>
      <c r="AL19" s="128"/>
    </row>
    <row r="20" spans="21:38" x14ac:dyDescent="0.35">
      <c r="U20" s="129"/>
      <c r="AJ20" s="129"/>
      <c r="AL20" s="129"/>
    </row>
    <row r="21" spans="21:38" ht="17.5" x14ac:dyDescent="0.35">
      <c r="U21" s="128"/>
      <c r="AJ21" s="128"/>
      <c r="AL21" s="128"/>
    </row>
    <row r="22" spans="21:38" ht="20" x14ac:dyDescent="0.4">
      <c r="U22" s="130"/>
      <c r="AJ22" s="130"/>
      <c r="AL22" s="130"/>
    </row>
    <row r="23" spans="21:38" ht="17.5" x14ac:dyDescent="0.35">
      <c r="U23" s="128"/>
      <c r="AJ23" s="128"/>
      <c r="AL23" s="128"/>
    </row>
    <row r="24" spans="21:38" ht="17.5" x14ac:dyDescent="0.35">
      <c r="U24" s="128"/>
      <c r="AJ24" s="128"/>
      <c r="AL24" s="128"/>
    </row>
    <row r="25" spans="21:38" ht="17.5" x14ac:dyDescent="0.35">
      <c r="U25" s="128"/>
      <c r="AJ25" s="128"/>
      <c r="AL25" s="128"/>
    </row>
    <row r="26" spans="21:38" ht="17.5" x14ac:dyDescent="0.35">
      <c r="U26" s="128"/>
      <c r="AJ26" s="128"/>
      <c r="AL26" s="128"/>
    </row>
    <row r="27" spans="21:38" ht="17.5" x14ac:dyDescent="0.35">
      <c r="U27" s="128"/>
      <c r="AJ27" s="128"/>
      <c r="AL27" s="128"/>
    </row>
    <row r="28" spans="21:38" ht="17.5" x14ac:dyDescent="0.35">
      <c r="U28" s="128"/>
      <c r="AJ28" s="128"/>
      <c r="AL28" s="128"/>
    </row>
    <row r="29" spans="21:38" ht="17.5" x14ac:dyDescent="0.35">
      <c r="U29" s="128"/>
      <c r="AJ29" s="128"/>
      <c r="AL29" s="128"/>
    </row>
    <row r="30" spans="21:38" ht="17.5" x14ac:dyDescent="0.35">
      <c r="U30" s="128"/>
      <c r="AJ30" s="128"/>
      <c r="AL30" s="128"/>
    </row>
    <row r="31" spans="21:38" ht="17.5" x14ac:dyDescent="0.35">
      <c r="U31" s="128"/>
      <c r="AJ31" s="128"/>
      <c r="AL31" s="128"/>
    </row>
    <row r="32" spans="21:38" ht="17.5" x14ac:dyDescent="0.35">
      <c r="U32" s="128"/>
      <c r="AJ32" s="128"/>
      <c r="AL32" s="128"/>
    </row>
    <row r="33" spans="21:38" ht="17.5" x14ac:dyDescent="0.35">
      <c r="U33" s="128"/>
      <c r="AJ33" s="128"/>
      <c r="AL33" s="128"/>
    </row>
    <row r="34" spans="21:38" ht="17.5" x14ac:dyDescent="0.35">
      <c r="U34" s="128"/>
      <c r="AJ34" s="128"/>
      <c r="AL34" s="128"/>
    </row>
    <row r="35" spans="21:38" ht="17.5" x14ac:dyDescent="0.35">
      <c r="U35" s="128"/>
      <c r="AJ35" s="128"/>
      <c r="AL35" s="128"/>
    </row>
    <row r="36" spans="21:38" ht="17.5" x14ac:dyDescent="0.35">
      <c r="U36" s="128"/>
      <c r="AJ36" s="128"/>
      <c r="AL36" s="128"/>
    </row>
    <row r="37" spans="21:38" ht="17.5" x14ac:dyDescent="0.35">
      <c r="U37" s="128"/>
      <c r="AJ37" s="128"/>
      <c r="AL37" s="128"/>
    </row>
  </sheetData>
  <mergeCells count="10">
    <mergeCell ref="AF3:AI3"/>
    <mergeCell ref="Y3:Z3"/>
    <mergeCell ref="W1:Z1"/>
    <mergeCell ref="B1:T1"/>
    <mergeCell ref="AB1:AI1"/>
    <mergeCell ref="B3:G3"/>
    <mergeCell ref="N3:P3"/>
    <mergeCell ref="W3:X3"/>
    <mergeCell ref="AB3:AD3"/>
    <mergeCell ref="H3:M3"/>
  </mergeCells>
  <pageMargins left="0.7" right="0.7" top="0.78740157499999996" bottom="0.78740157499999996" header="0.3" footer="0.3"/>
  <pageSetup paperSize="9" scale="83" fitToWidth="2" orientation="landscape" horizontalDpi="360" verticalDpi="360" r:id="rId1"/>
  <colBreaks count="1" manualBreakCount="1">
    <brk id="21" max="19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8"/>
  <dimension ref="A1:G30"/>
  <sheetViews>
    <sheetView topLeftCell="A14" workbookViewId="0">
      <selection activeCell="C35" sqref="C35"/>
    </sheetView>
  </sheetViews>
  <sheetFormatPr baseColWidth="10" defaultRowHeight="14.5" x14ac:dyDescent="0.35"/>
  <cols>
    <col min="3" max="3" width="26.81640625" customWidth="1"/>
  </cols>
  <sheetData>
    <row r="1" spans="1:7" x14ac:dyDescent="0.35">
      <c r="A1" s="72">
        <f>Gesamt!B1</f>
        <v>0</v>
      </c>
    </row>
    <row r="2" spans="1:7" x14ac:dyDescent="0.35">
      <c r="A2" s="73">
        <f>Gesamt!F1</f>
        <v>0</v>
      </c>
    </row>
    <row r="3" spans="1:7" ht="15.5" x14ac:dyDescent="0.35">
      <c r="A3" s="37"/>
      <c r="B3" s="37"/>
      <c r="C3" s="37"/>
      <c r="D3" t="s">
        <v>45</v>
      </c>
      <c r="E3" t="s">
        <v>46</v>
      </c>
      <c r="F3" t="s">
        <v>14</v>
      </c>
    </row>
    <row r="4" spans="1:7" ht="15.5" x14ac:dyDescent="0.35">
      <c r="A4" s="37"/>
      <c r="B4" s="37"/>
      <c r="C4" s="38" t="s">
        <v>8</v>
      </c>
      <c r="D4" s="37">
        <f>Gesamt!B5</f>
        <v>0</v>
      </c>
      <c r="E4" s="37"/>
      <c r="F4" s="37"/>
    </row>
    <row r="5" spans="1:7" ht="15.5" x14ac:dyDescent="0.35">
      <c r="A5" s="37"/>
      <c r="B5" s="37"/>
      <c r="C5" s="39" t="s">
        <v>47</v>
      </c>
      <c r="D5" s="37">
        <f>Gesamt!G5</f>
        <v>0</v>
      </c>
      <c r="E5" s="37"/>
      <c r="F5" s="37"/>
    </row>
    <row r="6" spans="1:7" ht="15.5" x14ac:dyDescent="0.35">
      <c r="A6" s="37"/>
      <c r="B6" s="37"/>
      <c r="C6" s="40" t="s">
        <v>48</v>
      </c>
      <c r="D6" s="37">
        <f>Gesamt!H5</f>
        <v>0</v>
      </c>
      <c r="E6" s="37"/>
      <c r="F6" s="37"/>
    </row>
    <row r="7" spans="1:7" ht="15.5" x14ac:dyDescent="0.35">
      <c r="A7" s="37"/>
      <c r="B7" s="37"/>
      <c r="C7" s="41" t="s">
        <v>20</v>
      </c>
      <c r="D7" s="37">
        <f>Gesamt!E5</f>
        <v>0</v>
      </c>
      <c r="E7" s="37"/>
      <c r="F7" s="37"/>
    </row>
    <row r="8" spans="1:7" ht="15.5" x14ac:dyDescent="0.35">
      <c r="A8" s="37"/>
      <c r="B8" s="37"/>
      <c r="C8" s="37"/>
      <c r="D8" s="37"/>
      <c r="E8" s="37"/>
      <c r="F8" s="37"/>
    </row>
    <row r="9" spans="1:7" ht="15.5" x14ac:dyDescent="0.35">
      <c r="A9" s="37"/>
      <c r="B9" s="37"/>
      <c r="C9" s="37"/>
      <c r="D9" s="37"/>
      <c r="E9" s="37"/>
      <c r="F9" s="37"/>
    </row>
    <row r="10" spans="1:7" ht="15.5" x14ac:dyDescent="0.35">
      <c r="A10" s="37"/>
      <c r="B10" s="37" t="s">
        <v>26</v>
      </c>
      <c r="C10" s="42" t="s">
        <v>49</v>
      </c>
      <c r="D10" s="37">
        <f>((Gesamt!V5+Gesamt!X5)*2.5)+(Gesamt!U5+Gesamt!W5)</f>
        <v>0</v>
      </c>
      <c r="F10" s="37"/>
      <c r="G10" s="37" t="s">
        <v>16</v>
      </c>
    </row>
    <row r="11" spans="1:7" ht="15.5" x14ac:dyDescent="0.35">
      <c r="A11" s="37"/>
      <c r="B11" s="37"/>
      <c r="C11" s="42" t="s">
        <v>50</v>
      </c>
      <c r="D11" s="37">
        <f>(Gesamt!AH5*2.5)+Gesamt!AG5</f>
        <v>0</v>
      </c>
      <c r="F11" s="37"/>
      <c r="G11" s="37" t="s">
        <v>16</v>
      </c>
    </row>
    <row r="12" spans="1:7" ht="15.5" x14ac:dyDescent="0.35">
      <c r="A12" s="37"/>
      <c r="B12" s="37"/>
      <c r="C12" s="42" t="s">
        <v>51</v>
      </c>
      <c r="D12" s="37">
        <f>((Gesamt!Z5+Gesamt!AB5)*2.5)+Gesamt!Y5+Gesamt!AA5</f>
        <v>0</v>
      </c>
      <c r="F12" s="37"/>
      <c r="G12" s="37" t="s">
        <v>16</v>
      </c>
    </row>
    <row r="13" spans="1:7" ht="15.5" x14ac:dyDescent="0.35">
      <c r="A13" s="37"/>
      <c r="B13" s="37"/>
      <c r="C13" s="42" t="s">
        <v>52</v>
      </c>
      <c r="D13" s="37">
        <f>(Gesamt!AJ5*2.5)+Gesamt!AI5</f>
        <v>0</v>
      </c>
      <c r="F13" s="37"/>
      <c r="G13" s="37" t="s">
        <v>16</v>
      </c>
    </row>
    <row r="14" spans="1:7" ht="15.5" x14ac:dyDescent="0.35">
      <c r="A14" s="37"/>
      <c r="B14" s="37"/>
      <c r="C14" s="42" t="s">
        <v>53</v>
      </c>
      <c r="D14" s="37">
        <f>Gesamt!AF5*5</f>
        <v>0</v>
      </c>
      <c r="F14" s="37"/>
      <c r="G14" s="37" t="s">
        <v>16</v>
      </c>
    </row>
    <row r="15" spans="1:7" ht="15.5" x14ac:dyDescent="0.35">
      <c r="A15" s="37"/>
      <c r="B15" s="37"/>
      <c r="C15" s="42" t="s">
        <v>54</v>
      </c>
      <c r="D15" s="37">
        <f>(Gesamt!AL5*2.5)+Gesamt!AK5</f>
        <v>0</v>
      </c>
      <c r="F15" s="37"/>
      <c r="G15" s="37" t="s">
        <v>16</v>
      </c>
    </row>
    <row r="16" spans="1:7" ht="15.5" x14ac:dyDescent="0.35">
      <c r="A16" s="37"/>
      <c r="B16" s="37"/>
      <c r="C16" s="37"/>
      <c r="D16" s="37"/>
      <c r="F16" s="37"/>
      <c r="G16" s="37"/>
    </row>
    <row r="17" spans="1:7" ht="15.5" x14ac:dyDescent="0.35">
      <c r="A17" s="37"/>
      <c r="B17" s="37" t="s">
        <v>27</v>
      </c>
      <c r="C17" s="43" t="s">
        <v>55</v>
      </c>
      <c r="D17" s="37">
        <f>(Gesamt!AN5*2)+Gesamt!AM5</f>
        <v>0</v>
      </c>
      <c r="F17" s="37"/>
      <c r="G17" s="37" t="s">
        <v>16</v>
      </c>
    </row>
    <row r="18" spans="1:7" ht="15.5" x14ac:dyDescent="0.35">
      <c r="A18" s="37"/>
      <c r="B18" s="37"/>
      <c r="C18" s="43" t="s">
        <v>56</v>
      </c>
      <c r="D18" s="37">
        <f>(Gesamt!AP5*2)+Gesamt!AO5</f>
        <v>0</v>
      </c>
      <c r="F18" s="37"/>
      <c r="G18" s="37" t="s">
        <v>16</v>
      </c>
    </row>
    <row r="19" spans="1:7" ht="15.5" x14ac:dyDescent="0.35">
      <c r="A19" s="37"/>
      <c r="B19" s="37" t="s">
        <v>28</v>
      </c>
      <c r="C19" s="43" t="s">
        <v>57</v>
      </c>
      <c r="D19" s="37">
        <f>Gesamt!AX5*2</f>
        <v>0</v>
      </c>
      <c r="F19" s="37"/>
      <c r="G19" s="37" t="s">
        <v>16</v>
      </c>
    </row>
    <row r="20" spans="1:7" ht="15.5" x14ac:dyDescent="0.35">
      <c r="A20" s="37"/>
      <c r="B20" s="37"/>
      <c r="C20" s="44" t="s">
        <v>58</v>
      </c>
      <c r="D20" s="37">
        <f>(Gesamt!AT5*2.5)+Gesamt!AS5</f>
        <v>0</v>
      </c>
      <c r="F20" s="37"/>
      <c r="G20" s="37" t="s">
        <v>16</v>
      </c>
    </row>
    <row r="21" spans="1:7" ht="15.5" x14ac:dyDescent="0.35">
      <c r="A21" s="37"/>
      <c r="B21" s="37"/>
      <c r="C21" s="44" t="s">
        <v>38</v>
      </c>
      <c r="D21" s="37">
        <f>(Gesamt!AV5*2.5)+Gesamt!AU5</f>
        <v>0</v>
      </c>
      <c r="F21" s="37"/>
      <c r="G21" s="37" t="s">
        <v>16</v>
      </c>
    </row>
    <row r="22" spans="1:7" ht="15.5" x14ac:dyDescent="0.35">
      <c r="A22" s="37"/>
      <c r="B22" s="37"/>
      <c r="C22" s="44" t="s">
        <v>59</v>
      </c>
      <c r="D22" s="37">
        <f>(Gesamt!AR5*2.5)+Gesamt!AQ5</f>
        <v>0</v>
      </c>
      <c r="F22" s="37"/>
      <c r="G22" s="37" t="s">
        <v>16</v>
      </c>
    </row>
    <row r="23" spans="1:7" ht="15.5" x14ac:dyDescent="0.35">
      <c r="A23" s="37"/>
      <c r="B23" s="37" t="s">
        <v>29</v>
      </c>
      <c r="C23" s="44" t="s">
        <v>60</v>
      </c>
      <c r="D23" s="37">
        <f>Gesamt!AY5+Gesamt!AZ5/2+Gesamt!BA5+Gesamt!BC5+Gesamt!BB5+Gesamt!BC5/2</f>
        <v>0</v>
      </c>
      <c r="F23" s="37"/>
      <c r="G23" s="37" t="s">
        <v>67</v>
      </c>
    </row>
    <row r="24" spans="1:7" ht="15.5" x14ac:dyDescent="0.35">
      <c r="A24" s="37"/>
      <c r="B24" s="37"/>
      <c r="C24" s="37"/>
      <c r="D24" s="37"/>
      <c r="E24" s="37"/>
      <c r="F24" s="37"/>
    </row>
    <row r="25" spans="1:7" ht="15.5" x14ac:dyDescent="0.35">
      <c r="A25" s="37"/>
      <c r="B25" s="37" t="s">
        <v>15</v>
      </c>
      <c r="C25" s="45" t="s">
        <v>15</v>
      </c>
      <c r="D25" s="37"/>
      <c r="E25" s="37"/>
      <c r="F25" s="37"/>
    </row>
    <row r="26" spans="1:7" ht="18.5" x14ac:dyDescent="0.45">
      <c r="A26" s="46"/>
      <c r="B26" s="46"/>
      <c r="C26" s="47" t="s">
        <v>14</v>
      </c>
      <c r="D26" s="47">
        <f>Gesamt!F5</f>
        <v>0</v>
      </c>
      <c r="E26" s="46"/>
      <c r="F26" s="46"/>
    </row>
    <row r="27" spans="1:7" ht="15.5" x14ac:dyDescent="0.35">
      <c r="A27" s="46"/>
      <c r="B27" s="46"/>
      <c r="C27" s="46"/>
      <c r="D27" s="46"/>
      <c r="E27" s="46"/>
      <c r="F27" s="46"/>
    </row>
    <row r="28" spans="1:7" ht="15.5" x14ac:dyDescent="0.35">
      <c r="A28" s="46"/>
      <c r="B28" s="46"/>
      <c r="C28" s="36"/>
      <c r="D28" s="36"/>
      <c r="E28" s="46"/>
      <c r="F28" s="46"/>
    </row>
    <row r="29" spans="1:7" ht="15.5" x14ac:dyDescent="0.35">
      <c r="A29" s="46"/>
      <c r="B29" s="46"/>
      <c r="C29" s="36"/>
      <c r="D29" s="36"/>
      <c r="E29" s="46"/>
      <c r="F29" s="46"/>
    </row>
    <row r="30" spans="1:7" ht="15.5" x14ac:dyDescent="0.35">
      <c r="A30" s="46"/>
      <c r="B30" s="46"/>
      <c r="C30" s="36"/>
      <c r="D30" s="36"/>
      <c r="E30" s="46"/>
      <c r="F30" s="46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4</vt:i4>
      </vt:variant>
    </vt:vector>
  </HeadingPairs>
  <TitlesOfParts>
    <vt:vector size="10" baseType="lpstr">
      <vt:lpstr>Gesamt</vt:lpstr>
      <vt:lpstr>Gemüse</vt:lpstr>
      <vt:lpstr>Käse</vt:lpstr>
      <vt:lpstr>FleischWurst</vt:lpstr>
      <vt:lpstr>Getreide</vt:lpstr>
      <vt:lpstr>Gesamtmengen</vt:lpstr>
      <vt:lpstr>FleischWurst!Druckbereich</vt:lpstr>
      <vt:lpstr>Gemüse!Druckbereich</vt:lpstr>
      <vt:lpstr>Getreide!Druckbereich</vt:lpstr>
      <vt:lpstr>Käse!Druckbereich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katja</dc:creator>
  <cp:lastModifiedBy>Katja Lauer</cp:lastModifiedBy>
  <cp:lastPrinted>2023-07-07T12:15:45Z</cp:lastPrinted>
  <dcterms:created xsi:type="dcterms:W3CDTF">2021-08-31T18:09:03Z</dcterms:created>
  <dcterms:modified xsi:type="dcterms:W3CDTF">2025-08-31T18:33:06Z</dcterms:modified>
</cp:coreProperties>
</file>